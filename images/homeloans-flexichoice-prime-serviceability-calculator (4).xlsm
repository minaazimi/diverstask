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4000" windowHeight="9732"/>
  </bookViews>
  <sheets>
    <sheet name="Calculator" sheetId="1" r:id="rId1"/>
    <sheet name="Supplementary Income" sheetId="4" r:id="rId2"/>
    <sheet name="Tables" sheetId="2" r:id="rId3"/>
    <sheet name="Company Income Notes" sheetId="3" state="hidden" r:id="rId4"/>
  </sheets>
  <definedNames>
    <definedName name="_BonusCommission">Tables!$N$9:$N$12</definedName>
    <definedName name="_EssentialService">Tables!$L$9:$L$12</definedName>
    <definedName name="_xlnm._FilterDatabase" localSheetId="0" hidden="1">Calculator!$A$4:$J$72</definedName>
    <definedName name="_Overtime">Tables!$M$9:$M$12</definedName>
    <definedName name="_Portfolio">Tables!$K$9:$K$12</definedName>
    <definedName name="_Supplementary">Tables!$K$9:$N$12</definedName>
    <definedName name="AUTO_Bonus">'Supplementary Income'!$E$16</definedName>
    <definedName name="AUTO_Bonus2">'Supplementary Income'!$E$17</definedName>
    <definedName name="AUTO_Bonus3">'Supplementary Income'!$E$18</definedName>
    <definedName name="AUTO_Bonus4">'Supplementary Income'!$E$19</definedName>
    <definedName name="AUTO_BorrowerEntityType">Calculator!$B$46</definedName>
    <definedName name="AUTO_BorrowerEntityType2">Calculator!$B$47</definedName>
    <definedName name="AUTO_BorrowerEntityType3">Calculator!$B$48</definedName>
    <definedName name="AUTO_BorrowerEntityType4">Calculator!$B$49</definedName>
    <definedName name="AUTO_BusinessAddBacks">Calculator!$E$53</definedName>
    <definedName name="AUTO_BusinessEntityType">Calculator!#REF!</definedName>
    <definedName name="AUTO_BusinessNetProfit">Calculator!$C$53</definedName>
    <definedName name="AUTO_Commission">'Supplementary Income'!$F$16</definedName>
    <definedName name="AUTO_Commission2">'Supplementary Income'!$F$17</definedName>
    <definedName name="AUTO_Commission3">'Supplementary Income'!$F$18</definedName>
    <definedName name="AUTO_Commission4">'Supplementary Income'!$F$19</definedName>
    <definedName name="AUTO_CreditCardLimit">Calculator!$G$66</definedName>
    <definedName name="AUTO_ExistingInvestmentLoans">Calculator!$G$64</definedName>
    <definedName name="AUTO_ExistingOwnerOccupiedLoans">Calculator!$G$63</definedName>
    <definedName name="AUTO_GrossIncome">Calculator!$C$46</definedName>
    <definedName name="AUTO_GrossIncome2">Calculator!$C$47</definedName>
    <definedName name="AUTO_GrossIncome3">Calculator!$C$48</definedName>
    <definedName name="AUTO_GrossIncome4">Calculator!$C$49</definedName>
    <definedName name="AUTO_IOTerm">Calculator!$D$30</definedName>
    <definedName name="AUTO_IOTerm2">Calculator!$D$31</definedName>
    <definedName name="AUTO_IOTerm3">Calculator!$D$32</definedName>
    <definedName name="AUTO_IOTerm4">Calculator!$D$33</definedName>
    <definedName name="AUTO_IOTerm5">Calculator!$D$34</definedName>
    <definedName name="AUTO_IOTerm6">Calculator!$D$35</definedName>
    <definedName name="AUTO_IsIncomeAcceptable">'Supplementary Income'!$B$16</definedName>
    <definedName name="AUTO_IsIncomeAcceptable2">'Supplementary Income'!$B$17</definedName>
    <definedName name="AUTO_IsIncomeAcceptable3">'Supplementary Income'!$B$18</definedName>
    <definedName name="AUTO_IsIncomeAcceptable4">'Supplementary Income'!$B$19</definedName>
    <definedName name="AUTO_Loan">Calculator!$C$18</definedName>
    <definedName name="AUTO_LoanAmount">Calculator!$C$30</definedName>
    <definedName name="AUTO_LoanAmount2">Calculator!$C$31</definedName>
    <definedName name="AUTO_LoanAmount3">Calculator!$C$32</definedName>
    <definedName name="AUTO_LoanAmount4">Calculator!$C$33</definedName>
    <definedName name="AUTO_LoanAmount5">Calculator!$C$34</definedName>
    <definedName name="AUTO_LoanAmount6">Calculator!$C$35</definedName>
    <definedName name="AUTO_LoanAmountInvestment">Calculator!$C$38</definedName>
    <definedName name="AUTO_LoanAmountOwnerOccupied">Calculator!#REF!</definedName>
    <definedName name="AUTO_LoanInterestRate">Calculator!$C$25</definedName>
    <definedName name="AUTO_LoanTerm">Calculator!$C$24</definedName>
    <definedName name="AUTO_MortgageInsurer">Calculator!$C$26</definedName>
    <definedName name="AUTO_NumberAdults">Calculator!$C$20</definedName>
    <definedName name="AUTO_NumberChildren">Calculator!$C$22</definedName>
    <definedName name="AUTO_NumberCouples">Calculator!$C$21</definedName>
    <definedName name="AUTO_OtherExpenses">Calculator!$H$67</definedName>
    <definedName name="AUTO_OtherInvestmentMortgages">Calculator!$H$64</definedName>
    <definedName name="AUTO_OtherMortgages">Calculator!$H$63</definedName>
    <definedName name="AUTO_OvertimeShiftAllowances">'Supplementary Income'!$D$16</definedName>
    <definedName name="AUTO_OvertimeShiftAllowances2">'Supplementary Income'!$D$17</definedName>
    <definedName name="AUTO_OvertimeShiftAllowances3">'Supplementary Income'!$D$18</definedName>
    <definedName name="AUTO_OvertimeShiftAllowances4">'Supplementary Income'!$D$19</definedName>
    <definedName name="AUTO_PersonalLoans">Calculator!$H$65</definedName>
    <definedName name="AUTO_RentTotal">Calculator!$C$62</definedName>
    <definedName name="AUTO_SecondCasual">'Supplementary Income'!$H$16</definedName>
    <definedName name="AUTO_SecondCasual2">'Supplementary Income'!$H$17</definedName>
    <definedName name="AUTO_SecondCasual3">'Supplementary Income'!$H$18</definedName>
    <definedName name="AUTO_SecondCasual4">'Supplementary Income'!$H$19</definedName>
    <definedName name="AUTO_SecurityInvestmentValue">Calculator!$I$25</definedName>
    <definedName name="AUTO_SecurityOwnerOccupiedValue">Calculator!$I$24</definedName>
    <definedName name="AUTO_SocialSecurityIncome">'Supplementary Income'!$G$16</definedName>
    <definedName name="AUTO_SocialSecurityIncome2">'Supplementary Income'!$G$17</definedName>
    <definedName name="AUTO_SocialSecurityIncome3">'Supplementary Income'!$G$18</definedName>
    <definedName name="AUTO_SocialSecurityIncome4">'Supplementary Income'!$G$19</definedName>
    <definedName name="AUTO_TotalAdditionalLivingExpenses">Calculator!$C$58</definedName>
    <definedName name="AUTO_TotalDeclaredLivingExpenses">Calculator!$C$56</definedName>
    <definedName name="AUTO_Underwriter">Calculator!$C$8</definedName>
    <definedName name="CALC">Calculator!$C$60</definedName>
    <definedName name="calculatorSheet">Calculator!$A$1:$I$120</definedName>
    <definedName name="inputCell">Calculator!$I$10</definedName>
    <definedName name="listMortgageInsurers">Tables!$F$20:$F$23</definedName>
    <definedName name="listMortgageInsurersData">Tables!$F$20:$I$23</definedName>
    <definedName name="mortgageInsurer">Calculator!$C$26</definedName>
    <definedName name="PaymentType">Tables!$H$3:$H$4</definedName>
    <definedName name="_xlnm.Print_Area" localSheetId="0">Calculator!$A$1:$I$105</definedName>
    <definedName name="_xlnm.Print_Area" localSheetId="1">'Supplementary Income'!$A$7:$I$23</definedName>
    <definedName name="rate">Calculator!$C$25</definedName>
    <definedName name="SecurityPurpose">Tables!$F$3:$F$4</definedName>
    <definedName name="underWriterName">Calculator!$C$8</definedName>
  </definedNames>
  <calcPr calcId="145621"/>
</workbook>
</file>

<file path=xl/calcChain.xml><?xml version="1.0" encoding="utf-8"?>
<calcChain xmlns="http://schemas.openxmlformats.org/spreadsheetml/2006/main">
  <c r="AA47" i="1" l="1"/>
  <c r="AA48" i="1"/>
  <c r="AA49" i="1"/>
  <c r="AA46" i="1"/>
  <c r="B26" i="1"/>
  <c r="J16" i="4"/>
  <c r="K16" i="4"/>
  <c r="I16" i="4"/>
  <c r="J17" i="4"/>
  <c r="I17" i="4"/>
  <c r="K17" i="4"/>
  <c r="J18" i="4"/>
  <c r="K18" i="4"/>
  <c r="J19" i="4"/>
  <c r="K19" i="4"/>
  <c r="I19" i="4"/>
  <c r="C16" i="4"/>
  <c r="C17" i="4"/>
  <c r="C18" i="4"/>
  <c r="C19" i="4"/>
  <c r="D20" i="4"/>
  <c r="F20" i="4"/>
  <c r="C9" i="2"/>
  <c r="G20" i="4"/>
  <c r="C83" i="1"/>
  <c r="E20" i="4"/>
  <c r="C27" i="1"/>
  <c r="E34" i="1"/>
  <c r="E33" i="1"/>
  <c r="C36" i="1"/>
  <c r="G62" i="1"/>
  <c r="T67" i="1"/>
  <c r="F31" i="1"/>
  <c r="F32" i="1"/>
  <c r="F33" i="1"/>
  <c r="F34" i="1"/>
  <c r="F35" i="1"/>
  <c r="F30" i="1"/>
  <c r="H66" i="1"/>
  <c r="I66" i="1"/>
  <c r="I67" i="1"/>
  <c r="I65" i="1"/>
  <c r="T66" i="1"/>
  <c r="C60" i="1"/>
  <c r="C84" i="1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I4" i="1"/>
  <c r="C31" i="2"/>
  <c r="C32" i="2"/>
  <c r="C33" i="2"/>
  <c r="C34" i="2"/>
  <c r="G31" i="2"/>
  <c r="G32" i="2"/>
  <c r="G33" i="2"/>
  <c r="G34" i="2"/>
  <c r="C65" i="1"/>
  <c r="C66" i="1"/>
  <c r="C67" i="1"/>
  <c r="C77" i="1"/>
  <c r="C50" i="1"/>
  <c r="C20" i="4"/>
  <c r="D53" i="1"/>
  <c r="F53" i="1"/>
  <c r="C82" i="1"/>
  <c r="I26" i="1"/>
  <c r="O50" i="1"/>
  <c r="O53" i="1"/>
  <c r="G47" i="1"/>
  <c r="O51" i="1"/>
  <c r="G48" i="1"/>
  <c r="O52" i="1"/>
  <c r="G49" i="1"/>
  <c r="O49" i="1"/>
  <c r="K52" i="1"/>
  <c r="F49" i="1"/>
  <c r="K51" i="1"/>
  <c r="F48" i="1"/>
  <c r="K50" i="1"/>
  <c r="F47" i="1"/>
  <c r="K49" i="1"/>
  <c r="F46" i="1"/>
  <c r="I69" i="1"/>
  <c r="C39" i="1"/>
  <c r="B89" i="1"/>
  <c r="D89" i="1"/>
  <c r="I27" i="1"/>
  <c r="I18" i="4"/>
  <c r="H48" i="1"/>
  <c r="E37" i="2"/>
  <c r="E32" i="1"/>
  <c r="E35" i="1"/>
  <c r="E30" i="1"/>
  <c r="F36" i="1"/>
  <c r="H62" i="1"/>
  <c r="S67" i="1"/>
  <c r="I64" i="1"/>
  <c r="C78" i="1"/>
  <c r="G46" i="1"/>
  <c r="G50" i="1"/>
  <c r="E36" i="1"/>
  <c r="I62" i="1"/>
  <c r="E43" i="2"/>
  <c r="I48" i="1"/>
  <c r="E41" i="2"/>
  <c r="E39" i="2"/>
  <c r="E40" i="2"/>
  <c r="H46" i="1"/>
  <c r="E46" i="1"/>
  <c r="I20" i="4"/>
  <c r="C69" i="1"/>
  <c r="E47" i="1"/>
  <c r="H47" i="1"/>
  <c r="D37" i="2"/>
  <c r="F50" i="1"/>
  <c r="E49" i="1"/>
  <c r="H49" i="1"/>
  <c r="F37" i="2"/>
  <c r="D91" i="1"/>
  <c r="E31" i="1"/>
  <c r="S66" i="1"/>
  <c r="I63" i="1"/>
  <c r="C86" i="1"/>
  <c r="I70" i="1"/>
  <c r="C71" i="1"/>
  <c r="E48" i="1"/>
  <c r="J49" i="1"/>
  <c r="D40" i="2"/>
  <c r="D41" i="2"/>
  <c r="D43" i="2"/>
  <c r="I47" i="1"/>
  <c r="D39" i="2"/>
  <c r="E50" i="1"/>
  <c r="C76" i="1"/>
  <c r="C37" i="2"/>
  <c r="H50" i="1"/>
  <c r="F39" i="2"/>
  <c r="F40" i="2"/>
  <c r="F43" i="2"/>
  <c r="I49" i="1"/>
  <c r="F41" i="2"/>
  <c r="E46" i="2"/>
  <c r="C39" i="2"/>
  <c r="C41" i="2"/>
  <c r="C40" i="2"/>
  <c r="C46" i="2"/>
  <c r="C43" i="2"/>
  <c r="I46" i="1"/>
  <c r="I50" i="1"/>
  <c r="C80" i="1"/>
  <c r="D46" i="2"/>
  <c r="C81" i="1"/>
  <c r="C85" i="1"/>
  <c r="C79" i="1"/>
  <c r="F46" i="2"/>
  <c r="C87" i="1"/>
  <c r="C89" i="1"/>
  <c r="C91" i="1"/>
  <c r="I82" i="1"/>
</calcChain>
</file>

<file path=xl/sharedStrings.xml><?xml version="1.0" encoding="utf-8"?>
<sst xmlns="http://schemas.openxmlformats.org/spreadsheetml/2006/main" count="200" uniqueCount="181">
  <si>
    <t>DSR / NSR Calculator</t>
  </si>
  <si>
    <t>Underwriter's Name</t>
  </si>
  <si>
    <t>Loan to Valuation Ratio (LVR)</t>
  </si>
  <si>
    <t>Total Security Value</t>
  </si>
  <si>
    <t>Applicant 3</t>
  </si>
  <si>
    <t>Applicant 4</t>
  </si>
  <si>
    <t>Debt Service Ratio (DSR)</t>
  </si>
  <si>
    <t>Deductible Interest</t>
  </si>
  <si>
    <t>Net Cash after Tax</t>
  </si>
  <si>
    <t>Living Expenses (as per scales)</t>
  </si>
  <si>
    <t>Net Service Ratio (NSR)</t>
  </si>
  <si>
    <t>Personal Loans</t>
  </si>
  <si>
    <t>Total Financial Expense</t>
  </si>
  <si>
    <t>Net Financial Expense</t>
  </si>
  <si>
    <t>Value - Owner Occupied Property</t>
  </si>
  <si>
    <t>Security Position</t>
  </si>
  <si>
    <t>Blue shaded cells applies appropriate scales</t>
  </si>
  <si>
    <t>Cell Index</t>
  </si>
  <si>
    <t>Term of Loan (No. of Years)</t>
  </si>
  <si>
    <t>1.   LOAN DETAILS</t>
  </si>
  <si>
    <t>3.   NSR CALCULATION</t>
  </si>
  <si>
    <t>Value - Investment Property/ies</t>
  </si>
  <si>
    <t>Interest Rate - Actual</t>
  </si>
  <si>
    <t>Total Rent p.w.</t>
  </si>
  <si>
    <t>Total Rent p.a.</t>
  </si>
  <si>
    <t>Applicant 1</t>
  </si>
  <si>
    <t>Applicant 2</t>
  </si>
  <si>
    <t>Other Mortgages - Owner Occupied</t>
  </si>
  <si>
    <t>Other Mortgages - Investment</t>
  </si>
  <si>
    <t>Net Disposable Income</t>
  </si>
  <si>
    <t>Underwriter's Signature</t>
  </si>
  <si>
    <t>No of Dependants</t>
  </si>
  <si>
    <t>Tax Boundary</t>
  </si>
  <si>
    <t>Tax Due</t>
  </si>
  <si>
    <t>Excess %</t>
  </si>
  <si>
    <t>ANNUAL INCOME:</t>
  </si>
  <si>
    <t>Tax Due on Boundary</t>
  </si>
  <si>
    <t>% Due on Excess</t>
  </si>
  <si>
    <t>Tax due on Income:</t>
  </si>
  <si>
    <t>Taxable Income</t>
  </si>
  <si>
    <t>Tax Applicable</t>
  </si>
  <si>
    <t>B</t>
  </si>
  <si>
    <t>Individual Gross Income</t>
  </si>
  <si>
    <t>Totals for Individuals</t>
  </si>
  <si>
    <t>Business NPAT plus Addbacks</t>
  </si>
  <si>
    <t>Individual Applicant 1</t>
  </si>
  <si>
    <t>Individual Applicant 2</t>
  </si>
  <si>
    <t>Individual Applicant 3</t>
  </si>
  <si>
    <t>Individual Applicant 4</t>
  </si>
  <si>
    <t>Number of Dependent Children</t>
  </si>
  <si>
    <t>BR</t>
  </si>
  <si>
    <t>GR</t>
  </si>
  <si>
    <t>G</t>
  </si>
  <si>
    <t>Number of Couples</t>
  </si>
  <si>
    <t>4. COMMENTS</t>
  </si>
  <si>
    <t>Surplus Cash after Financial Expense</t>
  </si>
  <si>
    <t>80% of Total Rent p.a.</t>
  </si>
  <si>
    <t>Less 80% Rental Income</t>
  </si>
  <si>
    <t>Apportioned Rent to Borrowers (to total 80%)</t>
  </si>
  <si>
    <t>Each Independent Adult</t>
  </si>
  <si>
    <t>Each Couple</t>
  </si>
  <si>
    <t>Rental Income @80%)</t>
  </si>
  <si>
    <t>White shaded cells derived from formulas</t>
  </si>
  <si>
    <t>Credit card Assessment</t>
  </si>
  <si>
    <t>Credit Cards Limit</t>
  </si>
  <si>
    <t>Rent</t>
  </si>
  <si>
    <t>DInt</t>
  </si>
  <si>
    <t>Calculate the interest payable on this loan using the 'actual' interest rate. Enter this as a negative figure on the Financial Expenses 'Others' field.</t>
  </si>
  <si>
    <t>Include this interest figure as a new expense to the company by taking the amount away from the current Net Profit of the company.</t>
  </si>
  <si>
    <t>Where this loan will pay out a previous debt of the companies, add back the interest that was included as an expense in the company financials of this debt.</t>
  </si>
  <si>
    <t>Where this loan is to purchase a new property that will be rented, calculate 80% of the proposed rent and add this to the Net Profit figure. Where this is done do not include that rent under Rent Details.</t>
  </si>
  <si>
    <t>Company Net Profit adjusted where loan applied for will be paid for by company 
(i.e. company borrower)</t>
  </si>
  <si>
    <t xml:space="preserve">Where income of the directors (guarantors) is being used in the serviceability calculation all their expenses also need to be included. </t>
  </si>
  <si>
    <t>Living Expenses (Annual)</t>
  </si>
  <si>
    <t>Poverty Line Australia:</t>
  </si>
  <si>
    <t>Rate</t>
  </si>
  <si>
    <t>Effective  Date</t>
  </si>
  <si>
    <t>QBE LMI</t>
  </si>
  <si>
    <t>NET INCOME (per annum):</t>
  </si>
  <si>
    <t>Interest Rate - Benchmark</t>
  </si>
  <si>
    <t>Select Mortgage Insurer</t>
  </si>
  <si>
    <t>Other (loading)</t>
  </si>
  <si>
    <t>Tax Rates (with Medicare levy)</t>
  </si>
  <si>
    <t>Loading</t>
  </si>
  <si>
    <t xml:space="preserve"> Benchmark Servicing Interest Rate</t>
  </si>
  <si>
    <t xml:space="preserve">Assessment Rate </t>
  </si>
  <si>
    <t>Created:</t>
  </si>
  <si>
    <t xml:space="preserve">   /                /</t>
  </si>
  <si>
    <r>
      <t>Insert</t>
    </r>
    <r>
      <rPr>
        <sz val="11"/>
        <rFont val="Arial"/>
        <family val="2"/>
      </rPr>
      <t xml:space="preserve"> the relevant details into blank fields in yellow cells</t>
    </r>
  </si>
  <si>
    <r>
      <t>Show</t>
    </r>
    <r>
      <rPr>
        <sz val="11"/>
        <rFont val="Arial"/>
        <family val="2"/>
      </rPr>
      <t xml:space="preserve"> split loan amounts in correct fields</t>
    </r>
  </si>
  <si>
    <r>
      <t>There</t>
    </r>
    <r>
      <rPr>
        <sz val="11"/>
        <rFont val="Arial"/>
        <family val="2"/>
      </rPr>
      <t xml:space="preserve"> must be at least one borrower</t>
    </r>
  </si>
  <si>
    <r>
      <t>All</t>
    </r>
    <r>
      <rPr>
        <sz val="11"/>
        <rFont val="Arial"/>
        <family val="2"/>
      </rPr>
      <t xml:space="preserve"> loan purposes involving Investment properties will require weekly rental income in the appropriate Rent p.w. field
</t>
    </r>
    <r>
      <rPr>
        <b/>
        <sz val="11"/>
        <rFont val="Arial"/>
        <family val="2"/>
      </rPr>
      <t>Note:</t>
    </r>
    <r>
      <rPr>
        <sz val="11"/>
        <rFont val="Arial"/>
        <family val="2"/>
      </rPr>
      <t xml:space="preserve"> if the borrower combination is a company and individual person/s, please refer the loan directly to the RESIMAC Credit Department</t>
    </r>
    <r>
      <rPr>
        <b/>
        <sz val="10"/>
        <rFont val="Arial"/>
        <family val="2"/>
      </rPr>
      <t/>
    </r>
  </si>
  <si>
    <r>
      <t xml:space="preserve">Total Incomes </t>
    </r>
    <r>
      <rPr>
        <sz val="11"/>
        <rFont val="Arial"/>
        <family val="2"/>
      </rPr>
      <t xml:space="preserve">(Individual Gross, Allowable Social Security and </t>
    </r>
    <r>
      <rPr>
        <i/>
        <sz val="11"/>
        <color indexed="53"/>
        <rFont val="Arial"/>
        <family val="2"/>
      </rPr>
      <t>Business NPAT/Addbacks</t>
    </r>
    <r>
      <rPr>
        <sz val="11"/>
        <rFont val="Arial"/>
        <family val="2"/>
      </rPr>
      <t>)</t>
    </r>
  </si>
  <si>
    <r>
      <t xml:space="preserve">NOTE: </t>
    </r>
    <r>
      <rPr>
        <sz val="11"/>
        <rFont val="Arial"/>
        <family val="2"/>
      </rPr>
      <t>This servicing calculator was prepared as a guide for loan assessment. If DSR/NSR results are marginal, other mitigating factors may be considered.  Please provide a detailed explanation in the "Comments" section.</t>
    </r>
  </si>
  <si>
    <t>Application Name / Loan No. / Ref:</t>
  </si>
  <si>
    <t>Tax Rates from 01/07/14</t>
  </si>
  <si>
    <t>Repayment</t>
  </si>
  <si>
    <t>Proposed Loan</t>
  </si>
  <si>
    <t>Repayment at stressed rate</t>
  </si>
  <si>
    <t>Advised repayment</t>
  </si>
  <si>
    <t>O/O</t>
  </si>
  <si>
    <t>Invest</t>
  </si>
  <si>
    <t>Limit / Balance</t>
  </si>
  <si>
    <t>n/a</t>
  </si>
  <si>
    <t>Assessed Repayment</t>
  </si>
  <si>
    <t>Number of Single Adults</t>
  </si>
  <si>
    <t>Company Income</t>
  </si>
  <si>
    <t>Government Benefits / Tax Free Income</t>
  </si>
  <si>
    <t>New Investment Property</t>
  </si>
  <si>
    <t>Other Investment Securities</t>
  </si>
  <si>
    <t>Existing Securities</t>
  </si>
  <si>
    <t>Annual</t>
  </si>
  <si>
    <t>Government Benefits / Tax Free</t>
  </si>
  <si>
    <t>Monthly Living Expenses</t>
  </si>
  <si>
    <t>Monthly Financial Expenses</t>
  </si>
  <si>
    <t>Weekly Gross Rental</t>
  </si>
  <si>
    <t>2.   INCOME AND EXPENSES</t>
  </si>
  <si>
    <t>Entity (see notes above)</t>
  </si>
  <si>
    <r>
      <rPr>
        <sz val="11"/>
        <rFont val="Arial"/>
        <family val="2"/>
      </rPr>
      <t>"</t>
    </r>
    <r>
      <rPr>
        <b/>
        <sz val="11"/>
        <rFont val="Arial"/>
        <family val="2"/>
      </rPr>
      <t>Entity</t>
    </r>
    <r>
      <rPr>
        <sz val="11"/>
        <rFont val="Arial"/>
        <family val="2"/>
      </rPr>
      <t>" field of NSR Calculation for Individual applicants,
Insert "</t>
    </r>
    <r>
      <rPr>
        <b/>
        <sz val="11"/>
        <rFont val="Arial"/>
        <family val="2"/>
      </rPr>
      <t>B</t>
    </r>
    <r>
      <rPr>
        <sz val="11"/>
        <rFont val="Arial"/>
        <family val="2"/>
      </rPr>
      <t>"  for borrowers who are not mortgagors; if applicable for investment purposes, "B" will receive apportioned deductible interest but no rent income is apportioned
Insert "</t>
    </r>
    <r>
      <rPr>
        <b/>
        <sz val="11"/>
        <rFont val="Arial"/>
        <family val="2"/>
      </rPr>
      <t>BR</t>
    </r>
    <r>
      <rPr>
        <sz val="11"/>
        <rFont val="Arial"/>
        <family val="2"/>
      </rPr>
      <t>" for borrowers who are mortgagors and all SMSF borrowers/guarantors; If applicable for investment purposes, "BR" will receive apportioned rent income and deductible interest
Insert "</t>
    </r>
    <r>
      <rPr>
        <b/>
        <sz val="11"/>
        <rFont val="Arial"/>
        <family val="2"/>
      </rPr>
      <t>G</t>
    </r>
    <r>
      <rPr>
        <sz val="11"/>
        <rFont val="Arial"/>
        <family val="2"/>
      </rPr>
      <t>" for Guarantor and no rent income or deductible interest is apportioned
Insert "</t>
    </r>
    <r>
      <rPr>
        <b/>
        <sz val="11"/>
        <rFont val="Arial"/>
        <family val="2"/>
      </rPr>
      <t>GR</t>
    </r>
    <r>
      <rPr>
        <sz val="11"/>
        <rFont val="Arial"/>
        <family val="2"/>
      </rPr>
      <t xml:space="preserve">" for guarantors who are mortgagors to receive apportioned rent income but no deductible interest
</t>
    </r>
  </si>
  <si>
    <t>Business Addbacks</t>
  </si>
  <si>
    <t>Business Net Profit Before Tax</t>
  </si>
  <si>
    <t>Business Net Profit After Tax</t>
  </si>
  <si>
    <t>Tax Applied</t>
  </si>
  <si>
    <t xml:space="preserve">Taxable Income </t>
  </si>
  <si>
    <t xml:space="preserve">Deductible Interest </t>
  </si>
  <si>
    <t xml:space="preserve">Tax Applied (Medicare Levy inclusive)  </t>
  </si>
  <si>
    <t>Portion 2</t>
  </si>
  <si>
    <t>Portion 3</t>
  </si>
  <si>
    <t>Portion 4</t>
  </si>
  <si>
    <t>Portion 5</t>
  </si>
  <si>
    <t>Portion 6</t>
  </si>
  <si>
    <t>Portion Amount</t>
  </si>
  <si>
    <t>Investment</t>
  </si>
  <si>
    <t>Owner Occupied</t>
  </si>
  <si>
    <t>Payment Type</t>
  </si>
  <si>
    <t>Interest Only</t>
  </si>
  <si>
    <t>P&amp;I</t>
  </si>
  <si>
    <t>Portion Purpose</t>
  </si>
  <si>
    <t>Assessed Loan Repayment</t>
  </si>
  <si>
    <t>Estimated Actual Repayment</t>
  </si>
  <si>
    <t>Total Loan</t>
  </si>
  <si>
    <t>Total loan amount for Investment Use</t>
  </si>
  <si>
    <t>Total loan amount for Owner Occupied</t>
  </si>
  <si>
    <t>I.O term (years)</t>
  </si>
  <si>
    <r>
      <t xml:space="preserve">(If Interest Only, estimated repayment is </t>
    </r>
    <r>
      <rPr>
        <i/>
        <u/>
        <sz val="11"/>
        <rFont val="Arial"/>
        <family val="2"/>
      </rPr>
      <t>after</t>
    </r>
    <r>
      <rPr>
        <i/>
        <sz val="11"/>
        <rFont val="Arial"/>
        <family val="2"/>
      </rPr>
      <t xml:space="preserve"> Interest Only period has expired.)</t>
    </r>
  </si>
  <si>
    <t xml:space="preserve">Portion 1 </t>
  </si>
  <si>
    <t>Note: All figures are to be entered at 100% and calculator will reduce assessment percentage where appropriate</t>
  </si>
  <si>
    <t>PAYG / Self Employed individuals</t>
  </si>
  <si>
    <t>Employed in essential services industry (Y/N)</t>
  </si>
  <si>
    <t>Base Income</t>
  </si>
  <si>
    <t>Overtime / Shift Allowance</t>
  </si>
  <si>
    <t>RESIMAC - Prime</t>
  </si>
  <si>
    <t>RESIMAC - Specialist</t>
  </si>
  <si>
    <t>Supplementary Income</t>
  </si>
  <si>
    <t>Total allowable Supplementary Income</t>
  </si>
  <si>
    <t>Bonus</t>
  </si>
  <si>
    <t>Commission</t>
  </si>
  <si>
    <t>Portfolio</t>
  </si>
  <si>
    <t>EssentialServices</t>
  </si>
  <si>
    <t>Overtime</t>
  </si>
  <si>
    <t>Bonus/Commission</t>
  </si>
  <si>
    <t>Y</t>
  </si>
  <si>
    <t>N</t>
  </si>
  <si>
    <t>OvertimeMupltiple</t>
  </si>
  <si>
    <t>BonusMultiple</t>
  </si>
  <si>
    <t>Essential Services</t>
  </si>
  <si>
    <t>SUPPLEMENTARY INCOME WORKSHEET</t>
  </si>
  <si>
    <t>Second Job / Casual</t>
  </si>
  <si>
    <t>(must includes all Basic and Additional Living Expenses)</t>
  </si>
  <si>
    <t>Applicant advised Living Expenses</t>
  </si>
  <si>
    <t>Dec 2015 Quarter</t>
  </si>
  <si>
    <t>Note: Interest rate is to be the highest rate across all portions</t>
  </si>
  <si>
    <t>Prime</t>
  </si>
  <si>
    <t>Specialist</t>
  </si>
  <si>
    <t>Yellow shaded cells require input</t>
  </si>
  <si>
    <t>Final calculation Pass / Fail</t>
  </si>
  <si>
    <t>br</t>
  </si>
  <si>
    <t>Rent Expense/Business Loans/Child Support/Other/
Notional Rent ($650 per month per applicant)</t>
  </si>
  <si>
    <t>Cash Out to be excluded from Investment Use</t>
  </si>
  <si>
    <t>Note: Only include amounts where the investment use can be confirmed - i.e. refinance or purchase of investment property, etc</t>
  </si>
  <si>
    <t>Version 2.4 (15/08/2018)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</si>
</sst>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8" formatCode="&quot;$&quot;#,##0.00;[Red]\-&quot;$&quot;#,##0.00"/>
    <numFmt numFmtId="164" formatCode="&quot;$&quot;#,##0_);[Red]\(&quot;$&quot;#,##0\)"/>
    <numFmt numFmtId="165" formatCode="_(&quot;$&quot;* #,##0_);_(&quot;$&quot;* \(#,##0\);_(&quot;$&quot;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dd/mm/yy\ h:mm\ AM/PM"/>
    <numFmt numFmtId="169" formatCode="0.0000"/>
    <numFmt numFmtId="170" formatCode="_(&quot;$&quot;* #,##0_);_(&quot;$&quot;* \(#,##0\);_(&quot;$&quot;* &quot;-&quot;??_);_(@_)"/>
    <numFmt numFmtId="171" formatCode="_(* #,##0_);_(* \(#,##0\);_(* &quot;-&quot;??_);_(@_)"/>
    <numFmt numFmtId="172" formatCode="0.0%"/>
    <numFmt numFmtId="173" formatCode="0.0000%"/>
    <numFmt numFmtId="174" formatCode="General_);General_);0_);@_)"/>
    <numFmt numFmtId="175" formatCode="dd/mm/yyyy"/>
  </numFmts>
  <fonts count="44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u/>
      <sz val="11"/>
      <name val="Arial"/>
      <family val="2"/>
    </font>
    <font>
      <b/>
      <sz val="10"/>
      <name val="Arial Narrow"/>
      <family val="2"/>
    </font>
    <font>
      <sz val="12"/>
      <name val="Arial"/>
      <family val="2"/>
    </font>
    <font>
      <b/>
      <sz val="10"/>
      <color indexed="8"/>
      <name val="Arial"/>
      <family val="2"/>
    </font>
    <font>
      <sz val="12"/>
      <color indexed="8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b/>
      <u/>
      <sz val="10"/>
      <name val="Arial"/>
      <family val="2"/>
    </font>
    <font>
      <b/>
      <i/>
      <sz val="10"/>
      <name val="Arial"/>
      <family val="2"/>
    </font>
    <font>
      <sz val="11"/>
      <name val="Arial"/>
      <family val="2"/>
    </font>
    <font>
      <sz val="11"/>
      <name val="Times New Roman"/>
      <family val="1"/>
    </font>
    <font>
      <u/>
      <sz val="11"/>
      <name val="Arial"/>
      <family val="2"/>
    </font>
    <font>
      <i/>
      <sz val="11"/>
      <color indexed="53"/>
      <name val="Arial"/>
      <family val="2"/>
    </font>
    <font>
      <sz val="11"/>
      <color indexed="9"/>
      <name val="Arial"/>
      <family val="2"/>
    </font>
    <font>
      <i/>
      <sz val="11"/>
      <name val="Arial"/>
      <family val="2"/>
    </font>
    <font>
      <i/>
      <u/>
      <sz val="11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sz val="16"/>
      <name val="Arial"/>
      <family val="2"/>
    </font>
    <font>
      <b/>
      <i/>
      <sz val="8"/>
      <color theme="0"/>
      <name val="Arial"/>
      <family val="2"/>
    </font>
    <font>
      <b/>
      <sz val="10"/>
      <color theme="0"/>
      <name val="Arial"/>
      <family val="2"/>
    </font>
    <font>
      <sz val="11"/>
      <color theme="0"/>
      <name val="Arial"/>
      <family val="2"/>
    </font>
    <font>
      <i/>
      <sz val="11"/>
      <color rgb="FF4D4D4D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FF0000"/>
      <name val="Arial"/>
      <family val="2"/>
    </font>
    <font>
      <b/>
      <sz val="18"/>
      <color rgb="FFFF000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Arial"/>
      <family val="2"/>
    </font>
    <font>
      <sz val="10"/>
      <color theme="0"/>
      <name val="Arial"/>
      <family val="2"/>
    </font>
    <font>
      <i/>
      <sz val="10"/>
      <color rgb="FFFF0000"/>
      <name val="Arial"/>
      <family val="2"/>
    </font>
    <font>
      <b/>
      <sz val="14"/>
      <color rgb="FF333333"/>
      <name val="Verdana"/>
      <family val="2"/>
    </font>
    <font>
      <b/>
      <sz val="11"/>
      <color theme="0"/>
      <name val="Arial"/>
      <family val="2"/>
    </font>
    <font>
      <sz val="14"/>
      <color rgb="FF000000"/>
      <name val="Arial"/>
      <family val="2"/>
    </font>
    <font>
      <sz val="9"/>
      <color rgb="FF000000"/>
      <name val="Arial"/>
      <family val="2"/>
    </font>
    <font>
      <sz val="12"/>
      <color rgb="FFFF0000"/>
      <name val="Arial"/>
      <family val="2"/>
    </font>
    <font>
      <sz val="14"/>
      <color rgb="FFFF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gray0625">
        <fgColor indexed="22"/>
        <bgColor indexed="22"/>
      </patternFill>
    </fill>
    <fill>
      <patternFill patternType="gray0625">
        <fgColor indexed="11"/>
        <bgColor indexed="11"/>
      </patternFill>
    </fill>
    <fill>
      <patternFill patternType="solid">
        <fgColor indexed="9"/>
        <bgColor indexed="11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indexed="11"/>
      </patternFill>
    </fill>
    <fill>
      <patternFill patternType="solid">
        <fgColor theme="0"/>
        <bgColor indexed="11"/>
      </patternFill>
    </fill>
    <fill>
      <patternFill patternType="solid">
        <fgColor theme="0"/>
        <bgColor indexed="22"/>
      </patternFill>
    </fill>
    <fill>
      <patternFill patternType="solid">
        <fgColor theme="0" tint="-0.14999847407452621"/>
        <bgColor indexed="11"/>
      </patternFill>
    </fill>
    <fill>
      <patternFill patternType="solid">
        <fgColor theme="0" tint="-0.14996795556505021"/>
        <bgColor indexed="2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indexed="22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7">
    <xf numFmtId="0" fontId="0" fillId="0" borderId="0"/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7" fillId="2" borderId="0">
      <alignment horizontal="right"/>
      <protection locked="0"/>
    </xf>
    <xf numFmtId="9" fontId="1" fillId="0" borderId="0" applyFont="0" applyFill="0" applyBorder="0" applyAlignment="0" applyProtection="0"/>
    <xf numFmtId="164" fontId="9" fillId="3" borderId="0"/>
    <xf numFmtId="174" fontId="7" fillId="4" borderId="0">
      <alignment horizontal="right"/>
    </xf>
  </cellStyleXfs>
  <cellXfs count="338">
    <xf numFmtId="0" fontId="0" fillId="0" borderId="0" xfId="0"/>
    <xf numFmtId="0" fontId="0" fillId="5" borderId="0" xfId="0" applyFill="1" applyBorder="1" applyAlignment="1" applyProtection="1">
      <alignment horizontal="center"/>
    </xf>
    <xf numFmtId="0" fontId="0" fillId="5" borderId="0" xfId="0" applyFill="1" applyBorder="1" applyProtection="1"/>
    <xf numFmtId="0" fontId="0" fillId="5" borderId="0" xfId="0" applyFill="1" applyBorder="1" applyAlignment="1" applyProtection="1">
      <alignment horizontal="right"/>
    </xf>
    <xf numFmtId="0" fontId="0" fillId="0" borderId="0" xfId="0" applyAlignment="1">
      <alignment horizontal="center"/>
    </xf>
    <xf numFmtId="0" fontId="2" fillId="6" borderId="0" xfId="0" applyFont="1" applyFill="1"/>
    <xf numFmtId="174" fontId="3" fillId="5" borderId="0" xfId="6" applyFont="1" applyFill="1" applyBorder="1" applyProtection="1">
      <alignment horizontal="right"/>
    </xf>
    <xf numFmtId="0" fontId="10" fillId="6" borderId="0" xfId="0" applyFont="1" applyFill="1"/>
    <xf numFmtId="0" fontId="11" fillId="6" borderId="0" xfId="0" applyFont="1" applyFill="1" applyBorder="1"/>
    <xf numFmtId="0" fontId="11" fillId="6" borderId="0" xfId="0" applyFont="1" applyFill="1" applyBorder="1" applyAlignment="1">
      <alignment horizontal="center"/>
    </xf>
    <xf numFmtId="0" fontId="11" fillId="6" borderId="0" xfId="0" applyFont="1" applyFill="1" applyBorder="1" applyAlignment="1">
      <alignment horizontal="right"/>
    </xf>
    <xf numFmtId="0" fontId="2" fillId="6" borderId="0" xfId="0" applyFont="1" applyFill="1" applyBorder="1"/>
    <xf numFmtId="0" fontId="2" fillId="6" borderId="0" xfId="0" applyFont="1" applyFill="1" applyBorder="1" applyAlignment="1">
      <alignment horizontal="right"/>
    </xf>
    <xf numFmtId="0" fontId="2" fillId="6" borderId="1" xfId="0" applyFont="1" applyFill="1" applyBorder="1"/>
    <xf numFmtId="0" fontId="2" fillId="6" borderId="0" xfId="0" applyFont="1" applyFill="1" applyBorder="1" applyAlignment="1">
      <alignment horizontal="center"/>
    </xf>
    <xf numFmtId="0" fontId="2" fillId="6" borderId="0" xfId="0" applyFont="1" applyFill="1" applyAlignment="1">
      <alignment horizontal="center"/>
    </xf>
    <xf numFmtId="170" fontId="2" fillId="6" borderId="0" xfId="2" applyNumberFormat="1" applyFont="1" applyFill="1" applyBorder="1"/>
    <xf numFmtId="170" fontId="2" fillId="6" borderId="0" xfId="2" quotePrefix="1" applyNumberFormat="1" applyFont="1" applyFill="1" applyBorder="1" applyAlignment="1">
      <alignment horizontal="left"/>
    </xf>
    <xf numFmtId="0" fontId="2" fillId="6" borderId="1" xfId="0" applyFont="1" applyFill="1" applyBorder="1" applyAlignment="1">
      <alignment horizontal="left"/>
    </xf>
    <xf numFmtId="0" fontId="6" fillId="6" borderId="0" xfId="0" quotePrefix="1" applyFont="1" applyFill="1" applyBorder="1" applyAlignment="1">
      <alignment horizontal="center"/>
    </xf>
    <xf numFmtId="1" fontId="2" fillId="6" borderId="0" xfId="2" applyNumberFormat="1" applyFont="1" applyFill="1" applyBorder="1" applyAlignment="1">
      <alignment horizontal="center"/>
    </xf>
    <xf numFmtId="1" fontId="2" fillId="6" borderId="0" xfId="0" applyNumberFormat="1" applyFont="1" applyFill="1" applyBorder="1" applyAlignment="1">
      <alignment horizontal="center"/>
    </xf>
    <xf numFmtId="0" fontId="2" fillId="6" borderId="0" xfId="0" applyFont="1" applyFill="1" applyAlignment="1">
      <alignment horizontal="right"/>
    </xf>
    <xf numFmtId="170" fontId="2" fillId="6" borderId="0" xfId="0" applyNumberFormat="1" applyFont="1" applyFill="1" applyBorder="1"/>
    <xf numFmtId="166" fontId="2" fillId="6" borderId="0" xfId="2" applyNumberFormat="1" applyFont="1" applyFill="1" applyBorder="1"/>
    <xf numFmtId="0" fontId="2" fillId="6" borderId="0" xfId="0" quotePrefix="1" applyFont="1" applyFill="1" applyBorder="1" applyAlignment="1">
      <alignment horizontal="left"/>
    </xf>
    <xf numFmtId="166" fontId="2" fillId="6" borderId="0" xfId="2" applyNumberFormat="1" applyFont="1" applyFill="1" applyBorder="1" applyAlignment="1">
      <alignment horizontal="center"/>
    </xf>
    <xf numFmtId="0" fontId="2" fillId="6" borderId="0" xfId="0" applyFont="1" applyFill="1" applyBorder="1" applyAlignment="1">
      <alignment horizontal="left"/>
    </xf>
    <xf numFmtId="167" fontId="2" fillId="6" borderId="0" xfId="2" applyNumberFormat="1" applyFont="1" applyFill="1" applyBorder="1"/>
    <xf numFmtId="0" fontId="5" fillId="6" borderId="1" xfId="0" applyFont="1" applyFill="1" applyBorder="1"/>
    <xf numFmtId="0" fontId="0" fillId="6" borderId="0" xfId="0" applyFill="1"/>
    <xf numFmtId="0" fontId="4" fillId="6" borderId="0" xfId="0" applyFont="1" applyFill="1" applyAlignment="1">
      <alignment horizontal="center"/>
    </xf>
    <xf numFmtId="0" fontId="4" fillId="6" borderId="0" xfId="0" applyFont="1" applyFill="1" applyBorder="1" applyAlignment="1">
      <alignment horizontal="center"/>
    </xf>
    <xf numFmtId="10" fontId="2" fillId="6" borderId="0" xfId="4" applyNumberFormat="1" applyFont="1" applyFill="1" applyBorder="1"/>
    <xf numFmtId="0" fontId="3" fillId="5" borderId="2" xfId="0" applyFont="1" applyFill="1" applyBorder="1" applyProtection="1">
      <protection hidden="1"/>
    </xf>
    <xf numFmtId="0" fontId="2" fillId="5" borderId="2" xfId="0" applyFont="1" applyFill="1" applyBorder="1" applyAlignment="1" applyProtection="1">
      <alignment horizontal="center"/>
      <protection hidden="1"/>
    </xf>
    <xf numFmtId="0" fontId="3" fillId="5" borderId="0" xfId="0" applyFont="1" applyFill="1" applyProtection="1">
      <protection hidden="1"/>
    </xf>
    <xf numFmtId="0" fontId="0" fillId="5" borderId="0" xfId="0" applyFill="1" applyProtection="1">
      <protection hidden="1"/>
    </xf>
    <xf numFmtId="0" fontId="11" fillId="6" borderId="0" xfId="0" applyFont="1" applyFill="1" applyProtection="1">
      <protection hidden="1"/>
    </xf>
    <xf numFmtId="0" fontId="3" fillId="5" borderId="0" xfId="0" applyFont="1" applyFill="1" applyBorder="1" applyProtection="1">
      <protection hidden="1"/>
    </xf>
    <xf numFmtId="0" fontId="0" fillId="0" borderId="0" xfId="0" applyAlignment="1">
      <alignment horizontal="left"/>
    </xf>
    <xf numFmtId="0" fontId="0" fillId="7" borderId="0" xfId="0" applyFill="1"/>
    <xf numFmtId="0" fontId="3" fillId="5" borderId="3" xfId="0" applyFont="1" applyFill="1" applyBorder="1" applyProtection="1">
      <protection hidden="1"/>
    </xf>
    <xf numFmtId="0" fontId="3" fillId="5" borderId="4" xfId="0" applyFont="1" applyFill="1" applyBorder="1" applyProtection="1">
      <protection hidden="1"/>
    </xf>
    <xf numFmtId="0" fontId="15" fillId="8" borderId="5" xfId="0" applyFont="1" applyFill="1" applyBorder="1" applyAlignment="1">
      <alignment horizontal="left"/>
    </xf>
    <xf numFmtId="170" fontId="26" fillId="8" borderId="6" xfId="2" applyNumberFormat="1" applyFont="1" applyFill="1" applyBorder="1" applyAlignment="1">
      <alignment horizontal="center"/>
    </xf>
    <xf numFmtId="1" fontId="26" fillId="8" borderId="7" xfId="2" applyNumberFormat="1" applyFont="1" applyFill="1" applyBorder="1" applyAlignment="1">
      <alignment horizontal="center"/>
    </xf>
    <xf numFmtId="174" fontId="27" fillId="9" borderId="8" xfId="6" applyFont="1" applyFill="1" applyBorder="1" applyAlignment="1" applyProtection="1">
      <alignment horizontal="right"/>
    </xf>
    <xf numFmtId="174" fontId="27" fillId="9" borderId="9" xfId="6" applyFont="1" applyFill="1" applyBorder="1" applyAlignment="1" applyProtection="1">
      <alignment horizontal="center"/>
    </xf>
    <xf numFmtId="174" fontId="27" fillId="9" borderId="10" xfId="6" applyFont="1" applyFill="1" applyBorder="1" applyProtection="1">
      <alignment horizontal="right"/>
    </xf>
    <xf numFmtId="0" fontId="27" fillId="8" borderId="11" xfId="0" applyFont="1" applyFill="1" applyBorder="1" applyAlignment="1" applyProtection="1">
      <alignment horizontal="center"/>
      <protection hidden="1"/>
    </xf>
    <xf numFmtId="0" fontId="27" fillId="8" borderId="11" xfId="0" applyFont="1" applyFill="1" applyBorder="1" applyAlignment="1" applyProtection="1">
      <alignment horizontal="right"/>
      <protection hidden="1"/>
    </xf>
    <xf numFmtId="0" fontId="27" fillId="8" borderId="12" xfId="0" applyFont="1" applyFill="1" applyBorder="1" applyAlignment="1" applyProtection="1">
      <alignment horizontal="center"/>
      <protection hidden="1"/>
    </xf>
    <xf numFmtId="174" fontId="2" fillId="10" borderId="2" xfId="6" applyFont="1" applyFill="1" applyBorder="1" applyProtection="1">
      <alignment horizontal="right"/>
      <protection hidden="1"/>
    </xf>
    <xf numFmtId="170" fontId="2" fillId="11" borderId="11" xfId="3" applyNumberFormat="1" applyFont="1" applyFill="1" applyBorder="1" applyProtection="1">
      <alignment horizontal="right"/>
      <protection hidden="1"/>
    </xf>
    <xf numFmtId="170" fontId="2" fillId="11" borderId="12" xfId="3" applyNumberFormat="1" applyFont="1" applyFill="1" applyBorder="1" applyProtection="1">
      <alignment horizontal="right"/>
      <protection hidden="1"/>
    </xf>
    <xf numFmtId="174" fontId="3" fillId="12" borderId="13" xfId="6" applyFont="1" applyFill="1" applyBorder="1" applyProtection="1">
      <alignment horizontal="right"/>
      <protection hidden="1"/>
    </xf>
    <xf numFmtId="174" fontId="3" fillId="12" borderId="14" xfId="6" applyFont="1" applyFill="1" applyBorder="1" applyAlignment="1" applyProtection="1">
      <alignment horizontal="right"/>
      <protection hidden="1"/>
    </xf>
    <xf numFmtId="174" fontId="3" fillId="12" borderId="15" xfId="6" applyFont="1" applyFill="1" applyBorder="1" applyProtection="1">
      <alignment horizontal="right"/>
      <protection hidden="1"/>
    </xf>
    <xf numFmtId="166" fontId="3" fillId="12" borderId="15" xfId="2" applyFont="1" applyFill="1" applyBorder="1" applyAlignment="1" applyProtection="1">
      <alignment horizontal="right"/>
      <protection hidden="1"/>
    </xf>
    <xf numFmtId="9" fontId="3" fillId="12" borderId="15" xfId="4" applyFont="1" applyFill="1" applyBorder="1" applyAlignment="1" applyProtection="1">
      <alignment horizontal="right"/>
    </xf>
    <xf numFmtId="9" fontId="3" fillId="12" borderId="15" xfId="4" applyFont="1" applyFill="1" applyBorder="1" applyAlignment="1" applyProtection="1">
      <alignment horizontal="right"/>
      <protection hidden="1"/>
    </xf>
    <xf numFmtId="174" fontId="3" fillId="12" borderId="16" xfId="6" applyFont="1" applyFill="1" applyBorder="1" applyProtection="1">
      <alignment horizontal="right"/>
      <protection hidden="1"/>
    </xf>
    <xf numFmtId="174" fontId="3" fillId="12" borderId="17" xfId="6" applyFont="1" applyFill="1" applyBorder="1" applyProtection="1">
      <alignment horizontal="right"/>
      <protection hidden="1"/>
    </xf>
    <xf numFmtId="174" fontId="3" fillId="10" borderId="18" xfId="6" applyFont="1" applyFill="1" applyBorder="1" applyProtection="1">
      <alignment horizontal="right"/>
      <protection hidden="1"/>
    </xf>
    <xf numFmtId="174" fontId="3" fillId="12" borderId="19" xfId="6" applyFont="1" applyFill="1" applyBorder="1" applyProtection="1">
      <alignment horizontal="right"/>
      <protection hidden="1"/>
    </xf>
    <xf numFmtId="174" fontId="2" fillId="12" borderId="20" xfId="6" applyFont="1" applyFill="1" applyBorder="1" applyProtection="1">
      <alignment horizontal="right"/>
      <protection hidden="1"/>
    </xf>
    <xf numFmtId="0" fontId="3" fillId="10" borderId="0" xfId="0" applyFont="1" applyFill="1" applyBorder="1" applyProtection="1">
      <protection hidden="1"/>
    </xf>
    <xf numFmtId="0" fontId="3" fillId="10" borderId="0" xfId="0" applyFont="1" applyFill="1" applyProtection="1">
      <protection hidden="1"/>
    </xf>
    <xf numFmtId="0" fontId="0" fillId="10" borderId="0" xfId="0" applyFill="1" applyProtection="1">
      <protection hidden="1"/>
    </xf>
    <xf numFmtId="0" fontId="11" fillId="7" borderId="0" xfId="0" applyFont="1" applyFill="1" applyProtection="1">
      <protection hidden="1"/>
    </xf>
    <xf numFmtId="0" fontId="0" fillId="7" borderId="0" xfId="0" applyFill="1" applyProtection="1">
      <protection hidden="1"/>
    </xf>
    <xf numFmtId="164" fontId="3" fillId="13" borderId="21" xfId="0" applyNumberFormat="1" applyFont="1" applyFill="1" applyBorder="1" applyProtection="1">
      <protection hidden="1"/>
    </xf>
    <xf numFmtId="0" fontId="5" fillId="6" borderId="0" xfId="0" applyFont="1" applyFill="1" applyBorder="1" applyAlignment="1">
      <alignment horizontal="left"/>
    </xf>
    <xf numFmtId="0" fontId="13" fillId="6" borderId="0" xfId="0" applyFont="1" applyFill="1" applyBorder="1" applyAlignment="1">
      <alignment horizontal="left"/>
    </xf>
    <xf numFmtId="0" fontId="3" fillId="14" borderId="5" xfId="0" applyFont="1" applyFill="1" applyBorder="1"/>
    <xf numFmtId="0" fontId="3" fillId="14" borderId="6" xfId="0" applyFont="1" applyFill="1" applyBorder="1"/>
    <xf numFmtId="0" fontId="3" fillId="14" borderId="7" xfId="0" applyFont="1" applyFill="1" applyBorder="1"/>
    <xf numFmtId="0" fontId="3" fillId="14" borderId="22" xfId="0" applyFont="1" applyFill="1" applyBorder="1"/>
    <xf numFmtId="0" fontId="3" fillId="14" borderId="0" xfId="0" applyFont="1" applyFill="1" applyBorder="1"/>
    <xf numFmtId="0" fontId="3" fillId="14" borderId="23" xfId="0" applyFont="1" applyFill="1" applyBorder="1"/>
    <xf numFmtId="0" fontId="3" fillId="14" borderId="22" xfId="0" applyFont="1" applyFill="1" applyBorder="1" applyAlignment="1">
      <alignment wrapText="1"/>
    </xf>
    <xf numFmtId="0" fontId="3" fillId="14" borderId="0" xfId="0" applyFont="1" applyFill="1" applyBorder="1" applyAlignment="1">
      <alignment wrapText="1"/>
    </xf>
    <xf numFmtId="0" fontId="3" fillId="14" borderId="23" xfId="0" applyFont="1" applyFill="1" applyBorder="1" applyAlignment="1">
      <alignment wrapText="1"/>
    </xf>
    <xf numFmtId="0" fontId="3" fillId="14" borderId="9" xfId="0" applyFont="1" applyFill="1" applyBorder="1"/>
    <xf numFmtId="0" fontId="3" fillId="14" borderId="10" xfId="0" applyFont="1" applyFill="1" applyBorder="1"/>
    <xf numFmtId="0" fontId="3" fillId="14" borderId="8" xfId="0" applyFont="1" applyFill="1" applyBorder="1"/>
    <xf numFmtId="0" fontId="2" fillId="14" borderId="5" xfId="0" applyFont="1" applyFill="1" applyBorder="1" applyAlignment="1">
      <alignment horizontal="left"/>
    </xf>
    <xf numFmtId="10" fontId="2" fillId="14" borderId="6" xfId="4" applyNumberFormat="1" applyFont="1" applyFill="1" applyBorder="1" applyAlignment="1">
      <alignment horizontal="center"/>
    </xf>
    <xf numFmtId="175" fontId="2" fillId="14" borderId="7" xfId="2" applyNumberFormat="1" applyFont="1" applyFill="1" applyBorder="1" applyAlignment="1">
      <alignment horizontal="center"/>
    </xf>
    <xf numFmtId="0" fontId="2" fillId="14" borderId="22" xfId="0" applyFont="1" applyFill="1" applyBorder="1" applyAlignment="1">
      <alignment horizontal="left"/>
    </xf>
    <xf numFmtId="10" fontId="2" fillId="14" borderId="0" xfId="4" applyNumberFormat="1" applyFont="1" applyFill="1" applyBorder="1" applyAlignment="1">
      <alignment horizontal="center"/>
    </xf>
    <xf numFmtId="175" fontId="2" fillId="14" borderId="23" xfId="2" applyNumberFormat="1" applyFont="1" applyFill="1" applyBorder="1" applyAlignment="1">
      <alignment horizontal="center"/>
    </xf>
    <xf numFmtId="0" fontId="2" fillId="14" borderId="24" xfId="0" applyFont="1" applyFill="1" applyBorder="1" applyAlignment="1">
      <alignment horizontal="left"/>
    </xf>
    <xf numFmtId="10" fontId="2" fillId="14" borderId="25" xfId="4" applyNumberFormat="1" applyFont="1" applyFill="1" applyBorder="1" applyAlignment="1">
      <alignment horizontal="center"/>
    </xf>
    <xf numFmtId="175" fontId="2" fillId="14" borderId="26" xfId="2" applyNumberFormat="1" applyFont="1" applyFill="1" applyBorder="1" applyAlignment="1">
      <alignment horizontal="center"/>
    </xf>
    <xf numFmtId="0" fontId="2" fillId="14" borderId="5" xfId="0" applyFont="1" applyFill="1" applyBorder="1" applyAlignment="1">
      <alignment horizontal="center"/>
    </xf>
    <xf numFmtId="0" fontId="2" fillId="14" borderId="6" xfId="0" applyFont="1" applyFill="1" applyBorder="1"/>
    <xf numFmtId="172" fontId="2" fillId="14" borderId="7" xfId="4" applyNumberFormat="1" applyFont="1" applyFill="1" applyBorder="1" applyAlignment="1">
      <alignment horizontal="right"/>
    </xf>
    <xf numFmtId="164" fontId="8" fillId="15" borderId="22" xfId="5" applyFont="1" applyFill="1" applyBorder="1" applyAlignment="1" applyProtection="1">
      <alignment horizontal="center"/>
    </xf>
    <xf numFmtId="164" fontId="8" fillId="15" borderId="0" xfId="5" applyFont="1" applyFill="1" applyBorder="1" applyProtection="1"/>
    <xf numFmtId="172" fontId="8" fillId="15" borderId="23" xfId="5" applyNumberFormat="1" applyFont="1" applyFill="1" applyBorder="1" applyAlignment="1" applyProtection="1">
      <alignment horizontal="right"/>
    </xf>
    <xf numFmtId="164" fontId="8" fillId="15" borderId="9" xfId="5" applyFont="1" applyFill="1" applyBorder="1" applyAlignment="1" applyProtection="1">
      <alignment horizontal="center"/>
    </xf>
    <xf numFmtId="164" fontId="8" fillId="15" borderId="10" xfId="5" applyFont="1" applyFill="1" applyBorder="1" applyProtection="1"/>
    <xf numFmtId="172" fontId="8" fillId="15" borderId="8" xfId="5" applyNumberFormat="1" applyFont="1" applyFill="1" applyBorder="1" applyAlignment="1" applyProtection="1">
      <alignment horizontal="right"/>
    </xf>
    <xf numFmtId="0" fontId="16" fillId="0" borderId="0" xfId="0" applyFont="1" applyProtection="1">
      <protection hidden="1"/>
    </xf>
    <xf numFmtId="0" fontId="13" fillId="0" borderId="0" xfId="0" applyFont="1" applyFill="1" applyAlignment="1" applyProtection="1">
      <alignment vertical="top"/>
      <protection hidden="1"/>
    </xf>
    <xf numFmtId="0" fontId="13" fillId="0" borderId="0" xfId="0" applyFont="1" applyFill="1" applyProtection="1">
      <protection hidden="1"/>
    </xf>
    <xf numFmtId="168" fontId="16" fillId="0" borderId="0" xfId="0" applyNumberFormat="1" applyFont="1" applyBorder="1" applyAlignment="1" applyProtection="1">
      <alignment vertical="center"/>
      <protection hidden="1"/>
    </xf>
    <xf numFmtId="0" fontId="16" fillId="0" borderId="0" xfId="0" applyFont="1" applyFill="1" applyAlignment="1" applyProtection="1">
      <alignment horizontal="left"/>
      <protection hidden="1"/>
    </xf>
    <xf numFmtId="0" fontId="16" fillId="0" borderId="0" xfId="0" applyFont="1" applyFill="1" applyProtection="1">
      <protection hidden="1"/>
    </xf>
    <xf numFmtId="0" fontId="16" fillId="0" borderId="0" xfId="0" applyFont="1" applyAlignment="1" applyProtection="1">
      <alignment horizontal="center"/>
      <protection hidden="1"/>
    </xf>
    <xf numFmtId="0" fontId="16" fillId="0" borderId="3" xfId="0" applyFont="1" applyBorder="1" applyProtection="1">
      <protection hidden="1"/>
    </xf>
    <xf numFmtId="0" fontId="16" fillId="0" borderId="0" xfId="0" applyFont="1" applyFill="1" applyBorder="1" applyProtection="1">
      <protection hidden="1"/>
    </xf>
    <xf numFmtId="0" fontId="13" fillId="0" borderId="0" xfId="0" applyFont="1" applyProtection="1">
      <protection hidden="1"/>
    </xf>
    <xf numFmtId="0" fontId="18" fillId="0" borderId="0" xfId="0" applyFont="1" applyAlignment="1" applyProtection="1">
      <alignment horizontal="center" vertical="center"/>
      <protection hidden="1"/>
    </xf>
    <xf numFmtId="0" fontId="16" fillId="0" borderId="0" xfId="0" applyFont="1" applyAlignment="1" applyProtection="1">
      <alignment horizontal="right"/>
      <protection hidden="1"/>
    </xf>
    <xf numFmtId="0" fontId="16" fillId="0" borderId="0" xfId="0" quotePrefix="1" applyFont="1" applyAlignment="1" applyProtection="1">
      <alignment horizontal="right"/>
      <protection hidden="1"/>
    </xf>
    <xf numFmtId="0" fontId="16" fillId="6" borderId="15" xfId="0" applyFont="1" applyFill="1" applyBorder="1" applyProtection="1">
      <protection hidden="1"/>
    </xf>
    <xf numFmtId="0" fontId="16" fillId="16" borderId="15" xfId="0" applyFont="1" applyFill="1" applyBorder="1" applyProtection="1">
      <protection hidden="1"/>
    </xf>
    <xf numFmtId="0" fontId="16" fillId="0" borderId="0" xfId="0" applyFont="1" applyBorder="1" applyProtection="1">
      <protection hidden="1"/>
    </xf>
    <xf numFmtId="0" fontId="13" fillId="7" borderId="0" xfId="0" applyFont="1" applyFill="1" applyProtection="1">
      <protection hidden="1"/>
    </xf>
    <xf numFmtId="0" fontId="16" fillId="7" borderId="0" xfId="0" applyFont="1" applyFill="1" applyBorder="1" applyProtection="1">
      <protection hidden="1"/>
    </xf>
    <xf numFmtId="0" fontId="28" fillId="0" borderId="0" xfId="0" applyFont="1" applyProtection="1">
      <protection hidden="1"/>
    </xf>
    <xf numFmtId="170" fontId="16" fillId="0" borderId="0" xfId="0" applyNumberFormat="1" applyFont="1" applyProtection="1">
      <protection hidden="1"/>
    </xf>
    <xf numFmtId="0" fontId="16" fillId="0" borderId="0" xfId="0" quotePrefix="1" applyFont="1" applyAlignment="1" applyProtection="1">
      <alignment horizontal="left"/>
      <protection hidden="1"/>
    </xf>
    <xf numFmtId="0" fontId="18" fillId="0" borderId="0" xfId="0" applyFont="1" applyAlignment="1" applyProtection="1">
      <alignment horizontal="center"/>
      <protection hidden="1"/>
    </xf>
    <xf numFmtId="170" fontId="16" fillId="6" borderId="15" xfId="2" applyNumberFormat="1" applyFont="1" applyFill="1" applyBorder="1" applyProtection="1">
      <protection hidden="1"/>
    </xf>
    <xf numFmtId="170" fontId="16" fillId="6" borderId="27" xfId="2" applyNumberFormat="1" applyFont="1" applyFill="1" applyBorder="1" applyProtection="1">
      <protection hidden="1"/>
    </xf>
    <xf numFmtId="0" fontId="13" fillId="0" borderId="0" xfId="0" applyFont="1" applyAlignment="1" applyProtection="1">
      <alignment horizontal="right"/>
      <protection hidden="1"/>
    </xf>
    <xf numFmtId="10" fontId="16" fillId="6" borderId="11" xfId="4" applyNumberFormat="1" applyFont="1" applyFill="1" applyBorder="1" applyProtection="1">
      <protection hidden="1"/>
    </xf>
    <xf numFmtId="10" fontId="16" fillId="6" borderId="15" xfId="0" applyNumberFormat="1" applyFont="1" applyFill="1" applyBorder="1" applyProtection="1">
      <protection hidden="1"/>
    </xf>
    <xf numFmtId="169" fontId="16" fillId="0" borderId="0" xfId="0" applyNumberFormat="1" applyFont="1" applyFill="1" applyProtection="1">
      <protection hidden="1"/>
    </xf>
    <xf numFmtId="0" fontId="18" fillId="0" borderId="0" xfId="0" applyFont="1" applyBorder="1" applyAlignment="1" applyProtection="1">
      <alignment horizontal="center" vertical="center"/>
      <protection hidden="1"/>
    </xf>
    <xf numFmtId="0" fontId="16" fillId="0" borderId="0" xfId="0" applyFont="1" applyAlignment="1" applyProtection="1">
      <alignment horizontal="center" vertical="center" wrapText="1"/>
      <protection hidden="1"/>
    </xf>
    <xf numFmtId="0" fontId="16" fillId="0" borderId="0" xfId="0" quotePrefix="1" applyFont="1" applyAlignment="1" applyProtection="1">
      <alignment horizontal="center" vertical="center" wrapText="1"/>
      <protection hidden="1"/>
    </xf>
    <xf numFmtId="165" fontId="16" fillId="6" borderId="15" xfId="2" applyNumberFormat="1" applyFont="1" applyFill="1" applyBorder="1" applyProtection="1">
      <protection hidden="1"/>
    </xf>
    <xf numFmtId="0" fontId="16" fillId="0" borderId="15" xfId="0" applyFont="1" applyFill="1" applyBorder="1" applyAlignment="1" applyProtection="1">
      <alignment horizontal="center"/>
      <protection hidden="1"/>
    </xf>
    <xf numFmtId="170" fontId="16" fillId="6" borderId="11" xfId="0" applyNumberFormat="1" applyFont="1" applyFill="1" applyBorder="1" applyProtection="1">
      <protection hidden="1"/>
    </xf>
    <xf numFmtId="170" fontId="16" fillId="6" borderId="28" xfId="0" applyNumberFormat="1" applyFont="1" applyFill="1" applyBorder="1" applyProtection="1">
      <protection hidden="1"/>
    </xf>
    <xf numFmtId="0" fontId="19" fillId="0" borderId="0" xfId="0" applyFont="1" applyProtection="1">
      <protection hidden="1"/>
    </xf>
    <xf numFmtId="170" fontId="16" fillId="6" borderId="11" xfId="2" applyNumberFormat="1" applyFont="1" applyFill="1" applyBorder="1" applyProtection="1">
      <protection hidden="1"/>
    </xf>
    <xf numFmtId="170" fontId="16" fillId="6" borderId="29" xfId="2" applyNumberFormat="1" applyFont="1" applyFill="1" applyBorder="1" applyProtection="1">
      <protection hidden="1"/>
    </xf>
    <xf numFmtId="0" fontId="13" fillId="0" borderId="0" xfId="0" quotePrefix="1" applyFont="1" applyAlignment="1" applyProtection="1">
      <alignment horizontal="left"/>
      <protection hidden="1"/>
    </xf>
    <xf numFmtId="170" fontId="16" fillId="6" borderId="30" xfId="2" applyNumberFormat="1" applyFont="1" applyFill="1" applyBorder="1" applyProtection="1">
      <protection hidden="1"/>
    </xf>
    <xf numFmtId="0" fontId="16" fillId="0" borderId="0" xfId="0" applyFont="1" applyFill="1" applyBorder="1" applyAlignment="1" applyProtection="1">
      <alignment horizontal="right"/>
      <protection hidden="1"/>
    </xf>
    <xf numFmtId="0" fontId="16" fillId="0" borderId="0" xfId="0" quotePrefix="1" applyFont="1" applyFill="1" applyBorder="1" applyAlignment="1" applyProtection="1">
      <alignment horizontal="right"/>
      <protection hidden="1"/>
    </xf>
    <xf numFmtId="164" fontId="16" fillId="0" borderId="0" xfId="2" applyNumberFormat="1" applyFont="1" applyFill="1" applyBorder="1" applyProtection="1">
      <protection hidden="1"/>
    </xf>
    <xf numFmtId="170" fontId="16" fillId="6" borderId="31" xfId="2" applyNumberFormat="1" applyFont="1" applyFill="1" applyBorder="1" applyProtection="1">
      <protection hidden="1"/>
    </xf>
    <xf numFmtId="170" fontId="20" fillId="0" borderId="0" xfId="2" applyNumberFormat="1" applyFont="1" applyFill="1" applyBorder="1" applyProtection="1">
      <protection hidden="1"/>
    </xf>
    <xf numFmtId="170" fontId="16" fillId="16" borderId="31" xfId="2" applyNumberFormat="1" applyFont="1" applyFill="1" applyBorder="1" applyProtection="1">
      <protection hidden="1"/>
    </xf>
    <xf numFmtId="39" fontId="16" fillId="6" borderId="11" xfId="2" applyNumberFormat="1" applyFont="1" applyFill="1" applyBorder="1" applyProtection="1">
      <protection hidden="1"/>
    </xf>
    <xf numFmtId="0" fontId="13" fillId="7" borderId="0" xfId="0" applyFont="1" applyFill="1" applyBorder="1" applyProtection="1">
      <protection hidden="1"/>
    </xf>
    <xf numFmtId="0" fontId="13" fillId="0" borderId="0" xfId="0" applyFont="1" applyFill="1" applyBorder="1" applyProtection="1">
      <protection hidden="1"/>
    </xf>
    <xf numFmtId="0" fontId="16" fillId="0" borderId="10" xfId="0" applyFont="1" applyBorder="1" applyProtection="1">
      <protection hidden="1"/>
    </xf>
    <xf numFmtId="0" fontId="28" fillId="7" borderId="0" xfId="0" applyFont="1" applyFill="1" applyProtection="1">
      <protection hidden="1"/>
    </xf>
    <xf numFmtId="0" fontId="16" fillId="0" borderId="0" xfId="0" applyFont="1" applyAlignment="1" applyProtection="1">
      <alignment horizontal="left"/>
      <protection hidden="1"/>
    </xf>
    <xf numFmtId="0" fontId="13" fillId="0" borderId="0" xfId="0" applyFont="1" applyAlignment="1" applyProtection="1">
      <alignment horizontal="left"/>
      <protection hidden="1"/>
    </xf>
    <xf numFmtId="0" fontId="16" fillId="0" borderId="0" xfId="0" applyFont="1" applyFill="1" applyBorder="1" applyAlignment="1" applyProtection="1">
      <alignment horizontal="left"/>
      <protection hidden="1"/>
    </xf>
    <xf numFmtId="0" fontId="16" fillId="17" borderId="15" xfId="0" applyFont="1" applyFill="1" applyBorder="1" applyProtection="1">
      <protection hidden="1"/>
    </xf>
    <xf numFmtId="170" fontId="16" fillId="17" borderId="15" xfId="2" applyNumberFormat="1" applyFont="1" applyFill="1" applyBorder="1" applyProtection="1">
      <protection locked="0"/>
    </xf>
    <xf numFmtId="0" fontId="16" fillId="17" borderId="15" xfId="0" applyFont="1" applyFill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left"/>
      <protection hidden="1"/>
    </xf>
    <xf numFmtId="166" fontId="16" fillId="17" borderId="15" xfId="2" applyFont="1" applyFill="1" applyBorder="1" applyProtection="1">
      <protection locked="0"/>
    </xf>
    <xf numFmtId="0" fontId="30" fillId="0" borderId="0" xfId="0" applyFont="1" applyProtection="1">
      <protection hidden="1"/>
    </xf>
    <xf numFmtId="0" fontId="30" fillId="0" borderId="0" xfId="0" applyFont="1" applyFill="1" applyBorder="1" applyProtection="1">
      <protection hidden="1"/>
    </xf>
    <xf numFmtId="14" fontId="30" fillId="0" borderId="0" xfId="0" applyNumberFormat="1" applyFont="1" applyProtection="1">
      <protection hidden="1"/>
    </xf>
    <xf numFmtId="0" fontId="30" fillId="0" borderId="0" xfId="0" applyFont="1" applyBorder="1" applyProtection="1">
      <protection hidden="1"/>
    </xf>
    <xf numFmtId="0" fontId="30" fillId="0" borderId="0" xfId="0" applyFont="1" applyBorder="1" applyAlignment="1" applyProtection="1">
      <alignment horizontal="left"/>
      <protection hidden="1"/>
    </xf>
    <xf numFmtId="0" fontId="30" fillId="0" borderId="0" xfId="0" applyFont="1" applyAlignment="1" applyProtection="1">
      <alignment textRotation="255"/>
      <protection hidden="1"/>
    </xf>
    <xf numFmtId="0" fontId="30" fillId="6" borderId="0" xfId="0" applyFont="1" applyFill="1" applyProtection="1">
      <protection hidden="1"/>
    </xf>
    <xf numFmtId="166" fontId="30" fillId="0" borderId="15" xfId="2" applyFont="1" applyBorder="1" applyProtection="1">
      <protection hidden="1"/>
    </xf>
    <xf numFmtId="0" fontId="30" fillId="0" borderId="0" xfId="0" applyFont="1" applyFill="1" applyBorder="1" applyAlignment="1" applyProtection="1">
      <alignment horizontal="right"/>
      <protection hidden="1"/>
    </xf>
    <xf numFmtId="0" fontId="29" fillId="0" borderId="0" xfId="0" applyFont="1" applyAlignment="1" applyProtection="1">
      <alignment wrapText="1"/>
      <protection hidden="1"/>
    </xf>
    <xf numFmtId="0" fontId="16" fillId="0" borderId="15" xfId="0" applyFont="1" applyBorder="1" applyAlignment="1" applyProtection="1">
      <alignment horizontal="center"/>
      <protection hidden="1"/>
    </xf>
    <xf numFmtId="169" fontId="28" fillId="7" borderId="0" xfId="0" applyNumberFormat="1" applyFont="1" applyFill="1" applyProtection="1">
      <protection hidden="1"/>
    </xf>
    <xf numFmtId="169" fontId="28" fillId="7" borderId="0" xfId="0" applyNumberFormat="1" applyFont="1" applyFill="1" applyAlignment="1" applyProtection="1">
      <alignment horizontal="right"/>
      <protection hidden="1"/>
    </xf>
    <xf numFmtId="165" fontId="16" fillId="0" borderId="15" xfId="0" applyNumberFormat="1" applyFont="1" applyBorder="1" applyProtection="1">
      <protection hidden="1"/>
    </xf>
    <xf numFmtId="170" fontId="16" fillId="0" borderId="15" xfId="0" applyNumberFormat="1" applyFont="1" applyBorder="1" applyProtection="1">
      <protection hidden="1"/>
    </xf>
    <xf numFmtId="170" fontId="16" fillId="6" borderId="0" xfId="0" applyNumberFormat="1" applyFont="1" applyFill="1" applyBorder="1" applyProtection="1">
      <protection hidden="1"/>
    </xf>
    <xf numFmtId="170" fontId="16" fillId="6" borderId="15" xfId="0" applyNumberFormat="1" applyFont="1" applyFill="1" applyBorder="1" applyProtection="1">
      <protection hidden="1"/>
    </xf>
    <xf numFmtId="0" fontId="16" fillId="0" borderId="0" xfId="0" applyFont="1" applyFill="1" applyBorder="1" applyAlignment="1" applyProtection="1">
      <alignment horizontal="center"/>
      <protection hidden="1"/>
    </xf>
    <xf numFmtId="170" fontId="16" fillId="6" borderId="12" xfId="0" applyNumberFormat="1" applyFont="1" applyFill="1" applyBorder="1" applyProtection="1">
      <protection hidden="1"/>
    </xf>
    <xf numFmtId="0" fontId="21" fillId="0" borderId="0" xfId="0" applyFont="1" applyProtection="1">
      <protection hidden="1"/>
    </xf>
    <xf numFmtId="170" fontId="16" fillId="6" borderId="0" xfId="0" applyNumberFormat="1" applyFont="1" applyFill="1" applyBorder="1" applyAlignment="1" applyProtection="1">
      <alignment horizontal="center" vertical="center" wrapText="1"/>
      <protection hidden="1"/>
    </xf>
    <xf numFmtId="170" fontId="16" fillId="6" borderId="0" xfId="0" applyNumberFormat="1" applyFont="1" applyFill="1" applyBorder="1" applyAlignment="1" applyProtection="1">
      <alignment horizontal="center" vertical="center"/>
      <protection hidden="1"/>
    </xf>
    <xf numFmtId="0" fontId="28" fillId="6" borderId="0" xfId="0" applyFont="1" applyFill="1" applyProtection="1">
      <protection hidden="1"/>
    </xf>
    <xf numFmtId="173" fontId="28" fillId="6" borderId="0" xfId="4" applyNumberFormat="1" applyFont="1" applyFill="1" applyProtection="1">
      <protection hidden="1"/>
    </xf>
    <xf numFmtId="170" fontId="30" fillId="0" borderId="15" xfId="2" applyNumberFormat="1" applyFont="1" applyBorder="1" applyProtection="1">
      <protection hidden="1"/>
    </xf>
    <xf numFmtId="0" fontId="16" fillId="0" borderId="0" xfId="0" applyFont="1" applyAlignment="1" applyProtection="1">
      <protection hidden="1"/>
    </xf>
    <xf numFmtId="8" fontId="16" fillId="0" borderId="32" xfId="0" applyNumberFormat="1" applyFont="1" applyBorder="1" applyProtection="1">
      <protection hidden="1"/>
    </xf>
    <xf numFmtId="8" fontId="16" fillId="0" borderId="0" xfId="0" applyNumberFormat="1" applyFont="1" applyBorder="1" applyProtection="1">
      <protection hidden="1"/>
    </xf>
    <xf numFmtId="0" fontId="2" fillId="7" borderId="0" xfId="0" applyFont="1" applyFill="1" applyBorder="1"/>
    <xf numFmtId="0" fontId="0" fillId="7" borderId="0" xfId="0" applyFill="1" applyBorder="1"/>
    <xf numFmtId="8" fontId="16" fillId="0" borderId="15" xfId="0" applyNumberFormat="1" applyFont="1" applyBorder="1" applyProtection="1">
      <protection hidden="1"/>
    </xf>
    <xf numFmtId="8" fontId="30" fillId="0" borderId="15" xfId="0" applyNumberFormat="1" applyFont="1" applyBorder="1" applyProtection="1">
      <protection hidden="1"/>
    </xf>
    <xf numFmtId="0" fontId="31" fillId="0" borderId="0" xfId="0" applyFont="1" applyAlignment="1" applyProtection="1">
      <alignment horizontal="center" wrapText="1"/>
      <protection hidden="1"/>
    </xf>
    <xf numFmtId="0" fontId="13" fillId="0" borderId="0" xfId="0" applyFont="1" applyAlignment="1" applyProtection="1">
      <alignment horizontal="center" wrapText="1"/>
      <protection hidden="1"/>
    </xf>
    <xf numFmtId="0" fontId="24" fillId="7" borderId="0" xfId="0" applyFont="1" applyFill="1" applyBorder="1" applyAlignment="1" applyProtection="1">
      <alignment wrapText="1"/>
      <protection hidden="1"/>
    </xf>
    <xf numFmtId="170" fontId="16" fillId="16" borderId="15" xfId="2" applyNumberFormat="1" applyFont="1" applyFill="1" applyBorder="1" applyProtection="1">
      <protection hidden="1"/>
    </xf>
    <xf numFmtId="170" fontId="16" fillId="16" borderId="27" xfId="2" applyNumberFormat="1" applyFont="1" applyFill="1" applyBorder="1" applyProtection="1">
      <protection hidden="1"/>
    </xf>
    <xf numFmtId="170" fontId="16" fillId="6" borderId="33" xfId="0" applyNumberFormat="1" applyFont="1" applyFill="1" applyBorder="1" applyProtection="1">
      <protection hidden="1"/>
    </xf>
    <xf numFmtId="170" fontId="16" fillId="6" borderId="16" xfId="2" applyNumberFormat="1" applyFont="1" applyFill="1" applyBorder="1" applyProtection="1">
      <protection hidden="1"/>
    </xf>
    <xf numFmtId="0" fontId="16" fillId="0" borderId="34" xfId="0" applyFont="1" applyBorder="1" applyProtection="1">
      <protection hidden="1"/>
    </xf>
    <xf numFmtId="0" fontId="16" fillId="0" borderId="35" xfId="0" applyFont="1" applyBorder="1" applyProtection="1">
      <protection hidden="1"/>
    </xf>
    <xf numFmtId="0" fontId="16" fillId="0" borderId="29" xfId="0" applyFont="1" applyBorder="1" applyProtection="1">
      <protection hidden="1"/>
    </xf>
    <xf numFmtId="166" fontId="16" fillId="7" borderId="15" xfId="2" applyFont="1" applyFill="1" applyBorder="1" applyProtection="1">
      <protection hidden="1"/>
    </xf>
    <xf numFmtId="0" fontId="3" fillId="7" borderId="0" xfId="0" applyFont="1" applyFill="1"/>
    <xf numFmtId="0" fontId="16" fillId="0" borderId="0" xfId="0" applyFont="1" applyAlignment="1" applyProtection="1">
      <alignment horizontal="center" wrapText="1"/>
      <protection hidden="1"/>
    </xf>
    <xf numFmtId="166" fontId="4" fillId="6" borderId="0" xfId="2" applyNumberFormat="1" applyFont="1" applyFill="1" applyBorder="1" applyAlignment="1">
      <alignment horizontal="left"/>
    </xf>
    <xf numFmtId="166" fontId="4" fillId="6" borderId="0" xfId="0" applyNumberFormat="1" applyFont="1" applyFill="1" applyAlignment="1">
      <alignment horizontal="left"/>
    </xf>
    <xf numFmtId="0" fontId="16" fillId="0" borderId="0" xfId="0" applyFont="1" applyAlignment="1">
      <alignment vertical="justify"/>
    </xf>
    <xf numFmtId="0" fontId="2" fillId="7" borderId="0" xfId="0" applyFont="1" applyFill="1"/>
    <xf numFmtId="0" fontId="3" fillId="0" borderId="0" xfId="0" applyFont="1"/>
    <xf numFmtId="0" fontId="32" fillId="0" borderId="0" xfId="0" applyFont="1" applyProtection="1">
      <protection hidden="1"/>
    </xf>
    <xf numFmtId="0" fontId="32" fillId="6" borderId="0" xfId="0" applyFont="1" applyFill="1" applyProtection="1">
      <protection hidden="1"/>
    </xf>
    <xf numFmtId="0" fontId="16" fillId="6" borderId="0" xfId="0" applyFont="1" applyFill="1" applyProtection="1">
      <protection hidden="1"/>
    </xf>
    <xf numFmtId="166" fontId="16" fillId="17" borderId="15" xfId="2" applyNumberFormat="1" applyFont="1" applyFill="1" applyBorder="1" applyProtection="1">
      <protection locked="0"/>
    </xf>
    <xf numFmtId="166" fontId="16" fillId="17" borderId="27" xfId="2" applyNumberFormat="1" applyFont="1" applyFill="1" applyBorder="1" applyProtection="1">
      <protection locked="0"/>
    </xf>
    <xf numFmtId="166" fontId="16" fillId="6" borderId="15" xfId="0" applyNumberFormat="1" applyFont="1" applyFill="1" applyBorder="1" applyProtection="1">
      <protection hidden="1"/>
    </xf>
    <xf numFmtId="166" fontId="16" fillId="7" borderId="15" xfId="2" applyNumberFormat="1" applyFont="1" applyFill="1" applyBorder="1" applyProtection="1">
      <protection hidden="1"/>
    </xf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170" fontId="30" fillId="0" borderId="0" xfId="0" applyNumberFormat="1" applyFont="1" applyProtection="1">
      <protection hidden="1"/>
    </xf>
    <xf numFmtId="0" fontId="33" fillId="7" borderId="0" xfId="0" applyFont="1" applyFill="1" applyBorder="1" applyAlignment="1" applyProtection="1">
      <alignment wrapText="1"/>
      <protection hidden="1"/>
    </xf>
    <xf numFmtId="0" fontId="34" fillId="0" borderId="0" xfId="0" applyFont="1"/>
    <xf numFmtId="0" fontId="32" fillId="0" borderId="0" xfId="0" applyFont="1" applyAlignment="1" applyProtection="1">
      <alignment horizontal="center" vertical="center" wrapText="1"/>
      <protection hidden="1"/>
    </xf>
    <xf numFmtId="0" fontId="34" fillId="0" borderId="0" xfId="0" applyFont="1" applyProtection="1">
      <protection hidden="1"/>
    </xf>
    <xf numFmtId="0" fontId="13" fillId="0" borderId="0" xfId="0" applyFont="1" applyBorder="1" applyAlignment="1" applyProtection="1">
      <alignment horizontal="center" vertical="center" wrapText="1"/>
      <protection hidden="1"/>
    </xf>
    <xf numFmtId="0" fontId="13" fillId="0" borderId="1" xfId="0" applyFont="1" applyBorder="1" applyAlignment="1" applyProtection="1">
      <alignment vertical="top" wrapText="1"/>
      <protection hidden="1"/>
    </xf>
    <xf numFmtId="0" fontId="13" fillId="0" borderId="0" xfId="0" applyFont="1" applyBorder="1" applyAlignment="1" applyProtection="1">
      <alignment vertical="top" wrapText="1"/>
      <protection hidden="1"/>
    </xf>
    <xf numFmtId="0" fontId="32" fillId="0" borderId="0" xfId="0" applyFont="1" applyBorder="1" applyProtection="1">
      <protection hidden="1"/>
    </xf>
    <xf numFmtId="0" fontId="35" fillId="0" borderId="0" xfId="0" applyFont="1" applyBorder="1" applyAlignment="1" applyProtection="1">
      <alignment vertical="center"/>
      <protection hidden="1"/>
    </xf>
    <xf numFmtId="0" fontId="35" fillId="0" borderId="0" xfId="0" quotePrefix="1" applyFont="1" applyAlignment="1" applyProtection="1">
      <alignment horizontal="left"/>
      <protection hidden="1"/>
    </xf>
    <xf numFmtId="174" fontId="27" fillId="10" borderId="0" xfId="6" applyFont="1" applyFill="1" applyBorder="1" applyAlignment="1" applyProtection="1">
      <alignment horizontal="center"/>
    </xf>
    <xf numFmtId="174" fontId="27" fillId="10" borderId="0" xfId="6" applyFont="1" applyFill="1" applyBorder="1" applyProtection="1">
      <alignment horizontal="right"/>
    </xf>
    <xf numFmtId="0" fontId="27" fillId="7" borderId="0" xfId="0" applyFont="1" applyFill="1" applyBorder="1"/>
    <xf numFmtId="0" fontId="36" fillId="10" borderId="0" xfId="0" applyFont="1" applyFill="1" applyBorder="1" applyProtection="1"/>
    <xf numFmtId="164" fontId="27" fillId="11" borderId="0" xfId="5" applyFont="1" applyFill="1" applyBorder="1" applyProtection="1"/>
    <xf numFmtId="0" fontId="27" fillId="8" borderId="4" xfId="0" applyFont="1" applyFill="1" applyBorder="1" applyAlignment="1" applyProtection="1">
      <alignment horizontal="center"/>
      <protection hidden="1"/>
    </xf>
    <xf numFmtId="174" fontId="27" fillId="10" borderId="0" xfId="6" applyFont="1" applyFill="1" applyBorder="1" applyAlignment="1" applyProtection="1">
      <alignment horizontal="right"/>
    </xf>
    <xf numFmtId="0" fontId="27" fillId="7" borderId="0" xfId="0" applyFont="1" applyFill="1" applyBorder="1" applyAlignment="1">
      <alignment horizontal="center"/>
    </xf>
    <xf numFmtId="9" fontId="27" fillId="7" borderId="0" xfId="4" applyFont="1" applyFill="1" applyBorder="1" applyAlignment="1">
      <alignment horizontal="right"/>
    </xf>
    <xf numFmtId="164" fontId="27" fillId="11" borderId="0" xfId="5" applyFont="1" applyFill="1" applyBorder="1" applyAlignment="1" applyProtection="1">
      <alignment horizontal="center"/>
    </xf>
    <xf numFmtId="172" fontId="27" fillId="11" borderId="0" xfId="5" applyNumberFormat="1" applyFont="1" applyFill="1" applyBorder="1" applyAlignment="1" applyProtection="1">
      <alignment horizontal="right"/>
    </xf>
    <xf numFmtId="0" fontId="10" fillId="6" borderId="0" xfId="0" applyFont="1" applyFill="1" applyBorder="1"/>
    <xf numFmtId="0" fontId="17" fillId="0" borderId="0" xfId="0" quotePrefix="1" applyFont="1" applyFill="1" applyAlignment="1" applyProtection="1">
      <alignment horizontal="center"/>
    </xf>
    <xf numFmtId="0" fontId="30" fillId="17" borderId="15" xfId="0" applyFont="1" applyFill="1" applyBorder="1" applyProtection="1"/>
    <xf numFmtId="0" fontId="16" fillId="17" borderId="15" xfId="0" applyFont="1" applyFill="1" applyBorder="1" applyProtection="1"/>
    <xf numFmtId="171" fontId="0" fillId="0" borderId="0" xfId="1" applyNumberFormat="1" applyFont="1" applyBorder="1" applyProtection="1"/>
    <xf numFmtId="170" fontId="16" fillId="17" borderId="15" xfId="2" applyNumberFormat="1" applyFont="1" applyFill="1" applyBorder="1" applyProtection="1"/>
    <xf numFmtId="10" fontId="16" fillId="17" borderId="15" xfId="0" applyNumberFormat="1" applyFont="1" applyFill="1" applyBorder="1" applyAlignment="1" applyProtection="1">
      <alignment horizontal="right"/>
    </xf>
    <xf numFmtId="171" fontId="4" fillId="0" borderId="0" xfId="1" applyNumberFormat="1" applyFont="1" applyBorder="1" applyProtection="1"/>
    <xf numFmtId="10" fontId="13" fillId="17" borderId="15" xfId="0" applyNumberFormat="1" applyFont="1" applyFill="1" applyBorder="1" applyAlignment="1" applyProtection="1">
      <alignment horizontal="right"/>
    </xf>
    <xf numFmtId="0" fontId="16" fillId="0" borderId="0" xfId="0" applyFont="1" applyFill="1" applyBorder="1" applyProtection="1"/>
    <xf numFmtId="171" fontId="2" fillId="0" borderId="0" xfId="1" applyNumberFormat="1" applyFont="1" applyAlignment="1" applyProtection="1">
      <alignment horizontal="center"/>
    </xf>
    <xf numFmtId="0" fontId="2" fillId="0" borderId="0" xfId="0" applyFont="1" applyAlignment="1" applyProtection="1">
      <alignment horizontal="center" wrapText="1"/>
    </xf>
    <xf numFmtId="0" fontId="0" fillId="0" borderId="0" xfId="0" applyAlignment="1" applyProtection="1">
      <alignment horizontal="right"/>
    </xf>
    <xf numFmtId="0" fontId="0" fillId="0" borderId="0" xfId="0" applyAlignment="1" applyProtection="1"/>
    <xf numFmtId="170" fontId="23" fillId="17" borderId="15" xfId="2" applyNumberFormat="1" applyFont="1" applyFill="1" applyBorder="1" applyProtection="1"/>
    <xf numFmtId="0" fontId="0" fillId="17" borderId="15" xfId="0" applyFill="1" applyBorder="1" applyAlignment="1" applyProtection="1">
      <alignment horizontal="left"/>
    </xf>
    <xf numFmtId="170" fontId="3" fillId="17" borderId="15" xfId="2" applyNumberFormat="1" applyFont="1" applyFill="1" applyBorder="1" applyProtection="1"/>
    <xf numFmtId="0" fontId="0" fillId="0" borderId="0" xfId="0" applyFont="1" applyBorder="1" applyAlignment="1" applyProtection="1">
      <alignment horizontal="right"/>
    </xf>
    <xf numFmtId="0" fontId="0" fillId="0" borderId="0" xfId="0" applyFont="1" applyBorder="1" applyAlignment="1" applyProtection="1"/>
    <xf numFmtId="170" fontId="0" fillId="0" borderId="32" xfId="2" applyNumberFormat="1" applyFont="1" applyBorder="1" applyProtection="1"/>
    <xf numFmtId="0" fontId="0" fillId="0" borderId="32" xfId="0" applyBorder="1" applyAlignment="1" applyProtection="1">
      <alignment horizontal="left"/>
    </xf>
    <xf numFmtId="0" fontId="0" fillId="0" borderId="0" xfId="0" applyBorder="1" applyProtection="1"/>
    <xf numFmtId="0" fontId="0" fillId="0" borderId="0" xfId="0" applyBorder="1" applyAlignment="1" applyProtection="1">
      <alignment horizontal="left"/>
    </xf>
    <xf numFmtId="170" fontId="23" fillId="17" borderId="15" xfId="2" applyNumberFormat="1" applyFont="1" applyFill="1" applyBorder="1" applyAlignment="1" applyProtection="1"/>
    <xf numFmtId="170" fontId="0" fillId="0" borderId="15" xfId="2" applyNumberFormat="1" applyFont="1" applyBorder="1" applyAlignment="1" applyProtection="1"/>
    <xf numFmtId="171" fontId="37" fillId="0" borderId="0" xfId="1" applyNumberFormat="1" applyFont="1" applyBorder="1" applyProtection="1"/>
    <xf numFmtId="8" fontId="0" fillId="0" borderId="0" xfId="0" applyNumberFormat="1" applyBorder="1" applyProtection="1"/>
    <xf numFmtId="0" fontId="16" fillId="17" borderId="15" xfId="0" applyFont="1" applyFill="1" applyBorder="1" applyAlignment="1" applyProtection="1">
      <alignment horizontal="center"/>
    </xf>
    <xf numFmtId="170" fontId="16" fillId="17" borderId="13" xfId="2" applyNumberFormat="1" applyFont="1" applyFill="1" applyBorder="1" applyProtection="1"/>
    <xf numFmtId="170" fontId="16" fillId="17" borderId="5" xfId="2" applyNumberFormat="1" applyFont="1" applyFill="1" applyBorder="1" applyProtection="1"/>
    <xf numFmtId="170" fontId="21" fillId="17" borderId="15" xfId="2" applyNumberFormat="1" applyFont="1" applyFill="1" applyBorder="1" applyProtection="1"/>
    <xf numFmtId="166" fontId="16" fillId="17" borderId="15" xfId="2" applyFont="1" applyFill="1" applyBorder="1" applyProtection="1"/>
    <xf numFmtId="170" fontId="16" fillId="17" borderId="27" xfId="2" applyNumberFormat="1" applyFont="1" applyFill="1" applyBorder="1" applyProtection="1"/>
    <xf numFmtId="0" fontId="38" fillId="0" borderId="0" xfId="0" applyFont="1" applyAlignment="1" applyProtection="1">
      <alignment horizontal="center" vertical="center"/>
    </xf>
    <xf numFmtId="0" fontId="13" fillId="0" borderId="36" xfId="0" applyFont="1" applyBorder="1" applyAlignment="1" applyProtection="1">
      <alignment horizontal="center" vertical="center" wrapText="1"/>
      <protection hidden="1"/>
    </xf>
    <xf numFmtId="0" fontId="13" fillId="0" borderId="2" xfId="0" applyFont="1" applyBorder="1" applyAlignment="1" applyProtection="1">
      <alignment horizontal="center" vertical="center" wrapText="1"/>
      <protection hidden="1"/>
    </xf>
    <xf numFmtId="0" fontId="13" fillId="0" borderId="37" xfId="0" applyFont="1" applyBorder="1" applyAlignment="1" applyProtection="1">
      <alignment horizontal="center" vertical="center" wrapText="1"/>
      <protection hidden="1"/>
    </xf>
    <xf numFmtId="0" fontId="13" fillId="0" borderId="1" xfId="0" applyFont="1" applyBorder="1" applyAlignment="1" applyProtection="1">
      <alignment horizontal="center" vertical="center" wrapText="1"/>
      <protection hidden="1"/>
    </xf>
    <xf numFmtId="0" fontId="13" fillId="0" borderId="0" xfId="0" applyFont="1" applyBorder="1" applyAlignment="1" applyProtection="1">
      <alignment horizontal="center" vertical="center" wrapText="1"/>
      <protection hidden="1"/>
    </xf>
    <xf numFmtId="0" fontId="13" fillId="0" borderId="38" xfId="0" applyFont="1" applyBorder="1" applyAlignment="1" applyProtection="1">
      <alignment horizontal="center" vertical="center" wrapText="1"/>
      <protection hidden="1"/>
    </xf>
    <xf numFmtId="0" fontId="13" fillId="0" borderId="39" xfId="0" applyFont="1" applyBorder="1" applyAlignment="1" applyProtection="1">
      <alignment horizontal="center" vertical="center" wrapText="1"/>
      <protection hidden="1"/>
    </xf>
    <xf numFmtId="0" fontId="13" fillId="0" borderId="3" xfId="0" applyFont="1" applyBorder="1" applyAlignment="1" applyProtection="1">
      <alignment horizontal="center" vertical="center" wrapText="1"/>
      <protection hidden="1"/>
    </xf>
    <xf numFmtId="0" fontId="13" fillId="0" borderId="4" xfId="0" applyFont="1" applyBorder="1" applyAlignment="1" applyProtection="1">
      <alignment horizontal="center" vertical="center" wrapText="1"/>
      <protection hidden="1"/>
    </xf>
    <xf numFmtId="171" fontId="37" fillId="0" borderId="22" xfId="1" applyNumberFormat="1" applyFont="1" applyBorder="1" applyAlignment="1" applyProtection="1">
      <alignment horizontal="left" wrapText="1"/>
    </xf>
    <xf numFmtId="171" fontId="37" fillId="0" borderId="0" xfId="1" applyNumberFormat="1" applyFont="1" applyBorder="1" applyAlignment="1" applyProtection="1">
      <alignment horizontal="left" wrapText="1"/>
    </xf>
    <xf numFmtId="0" fontId="16" fillId="17" borderId="5" xfId="0" applyFont="1" applyFill="1" applyBorder="1" applyAlignment="1" applyProtection="1">
      <alignment vertical="top" wrapText="1"/>
    </xf>
    <xf numFmtId="0" fontId="16" fillId="17" borderId="6" xfId="0" applyFont="1" applyFill="1" applyBorder="1" applyAlignment="1" applyProtection="1">
      <alignment vertical="top" wrapText="1"/>
    </xf>
    <xf numFmtId="0" fontId="16" fillId="17" borderId="7" xfId="0" applyFont="1" applyFill="1" applyBorder="1" applyAlignment="1" applyProtection="1">
      <alignment vertical="top" wrapText="1"/>
    </xf>
    <xf numFmtId="0" fontId="16" fillId="17" borderId="22" xfId="0" applyFont="1" applyFill="1" applyBorder="1" applyAlignment="1" applyProtection="1">
      <alignment vertical="top" wrapText="1"/>
    </xf>
    <xf numFmtId="0" fontId="16" fillId="17" borderId="0" xfId="0" applyFont="1" applyFill="1" applyBorder="1" applyAlignment="1" applyProtection="1">
      <alignment vertical="top" wrapText="1"/>
    </xf>
    <xf numFmtId="0" fontId="16" fillId="17" borderId="23" xfId="0" applyFont="1" applyFill="1" applyBorder="1" applyAlignment="1" applyProtection="1">
      <alignment vertical="top" wrapText="1"/>
    </xf>
    <xf numFmtId="0" fontId="16" fillId="17" borderId="9" xfId="0" applyFont="1" applyFill="1" applyBorder="1" applyAlignment="1" applyProtection="1">
      <alignment vertical="top" wrapText="1"/>
    </xf>
    <xf numFmtId="0" fontId="16" fillId="17" borderId="10" xfId="0" applyFont="1" applyFill="1" applyBorder="1" applyAlignment="1" applyProtection="1">
      <alignment vertical="top" wrapText="1"/>
    </xf>
    <xf numFmtId="0" fontId="16" fillId="17" borderId="8" xfId="0" applyFont="1" applyFill="1" applyBorder="1" applyAlignment="1" applyProtection="1">
      <alignment vertical="top" wrapText="1"/>
    </xf>
    <xf numFmtId="0" fontId="16" fillId="17" borderId="13" xfId="0" applyFont="1" applyFill="1" applyBorder="1" applyAlignment="1" applyProtection="1">
      <alignment horizontal="center"/>
    </xf>
    <xf numFmtId="0" fontId="16" fillId="17" borderId="16" xfId="0" applyFont="1" applyFill="1" applyBorder="1" applyAlignment="1" applyProtection="1">
      <alignment horizontal="center"/>
    </xf>
    <xf numFmtId="0" fontId="13" fillId="0" borderId="0" xfId="0" applyFont="1" applyAlignment="1" applyProtection="1">
      <alignment horizontal="left" vertical="justify" wrapText="1"/>
      <protection hidden="1"/>
    </xf>
    <xf numFmtId="0" fontId="16" fillId="0" borderId="0" xfId="0" applyFont="1" applyAlignment="1" applyProtection="1">
      <alignment horizontal="left" vertical="justify"/>
    </xf>
    <xf numFmtId="0" fontId="29" fillId="0" borderId="0" xfId="0" applyFont="1" applyAlignment="1" applyProtection="1">
      <alignment horizontal="left" wrapText="1"/>
      <protection hidden="1"/>
    </xf>
    <xf numFmtId="0" fontId="13" fillId="0" borderId="6" xfId="0" applyFont="1" applyBorder="1" applyAlignment="1" applyProtection="1">
      <alignment wrapText="1"/>
      <protection hidden="1"/>
    </xf>
    <xf numFmtId="0" fontId="16" fillId="0" borderId="0" xfId="0" applyFont="1" applyBorder="1" applyAlignment="1" applyProtection="1"/>
    <xf numFmtId="0" fontId="16" fillId="0" borderId="10" xfId="0" applyFont="1" applyBorder="1" applyAlignment="1" applyProtection="1"/>
    <xf numFmtId="0" fontId="18" fillId="0" borderId="0" xfId="0" applyFont="1" applyAlignment="1" applyProtection="1">
      <alignment horizontal="center" vertical="center"/>
      <protection hidden="1"/>
    </xf>
    <xf numFmtId="0" fontId="16" fillId="0" borderId="0" xfId="0" applyFont="1" applyAlignment="1" applyProtection="1">
      <alignment horizontal="center" vertical="center"/>
      <protection hidden="1"/>
    </xf>
    <xf numFmtId="0" fontId="13" fillId="0" borderId="0" xfId="0" applyFont="1" applyBorder="1" applyAlignment="1" applyProtection="1">
      <alignment horizontal="center" vertical="justify" wrapText="1"/>
      <protection hidden="1"/>
    </xf>
    <xf numFmtId="0" fontId="16" fillId="0" borderId="1" xfId="0" applyFont="1" applyBorder="1" applyAlignment="1" applyProtection="1">
      <alignment horizontal="right" vertical="center" wrapText="1"/>
      <protection hidden="1"/>
    </xf>
    <xf numFmtId="0" fontId="16" fillId="0" borderId="0" xfId="0" applyFont="1" applyAlignment="1" applyProtection="1">
      <alignment horizontal="right" vertical="center"/>
      <protection hidden="1"/>
    </xf>
    <xf numFmtId="0" fontId="16" fillId="0" borderId="23" xfId="0" applyFont="1" applyBorder="1" applyAlignment="1" applyProtection="1">
      <alignment horizontal="right" vertical="center"/>
      <protection hidden="1"/>
    </xf>
    <xf numFmtId="0" fontId="13" fillId="0" borderId="0" xfId="0" applyFont="1" applyFill="1" applyBorder="1" applyAlignment="1" applyProtection="1">
      <alignment wrapText="1"/>
      <protection hidden="1"/>
    </xf>
    <xf numFmtId="0" fontId="16" fillId="0" borderId="0" xfId="0" applyFont="1" applyAlignment="1" applyProtection="1">
      <alignment wrapText="1"/>
    </xf>
    <xf numFmtId="0" fontId="16" fillId="0" borderId="0" xfId="0" applyFont="1" applyAlignment="1" applyProtection="1">
      <alignment horizontal="center"/>
      <protection hidden="1"/>
    </xf>
    <xf numFmtId="0" fontId="21" fillId="0" borderId="0" xfId="0" applyFont="1" applyAlignment="1" applyProtection="1">
      <alignment horizontal="left" wrapText="1"/>
      <protection hidden="1"/>
    </xf>
    <xf numFmtId="0" fontId="25" fillId="7" borderId="0" xfId="0" applyFont="1" applyFill="1" applyBorder="1" applyAlignment="1" applyProtection="1">
      <alignment horizontal="center" wrapText="1"/>
      <protection hidden="1"/>
    </xf>
    <xf numFmtId="0" fontId="16" fillId="0" borderId="0" xfId="0" applyFont="1" applyAlignment="1" applyProtection="1">
      <alignment horizontal="center" vertical="justify" wrapText="1"/>
      <protection hidden="1"/>
    </xf>
    <xf numFmtId="0" fontId="39" fillId="10" borderId="0" xfId="0" applyFont="1" applyFill="1" applyBorder="1" applyAlignment="1" applyProtection="1">
      <alignment horizontal="center" vertical="center"/>
    </xf>
    <xf numFmtId="0" fontId="13" fillId="5" borderId="13" xfId="0" applyFont="1" applyFill="1" applyBorder="1" applyAlignment="1" applyProtection="1">
      <alignment horizontal="center" vertical="center"/>
    </xf>
    <xf numFmtId="0" fontId="13" fillId="5" borderId="32" xfId="0" applyFont="1" applyFill="1" applyBorder="1" applyAlignment="1" applyProtection="1">
      <alignment horizontal="center" vertical="center"/>
    </xf>
    <xf numFmtId="0" fontId="13" fillId="5" borderId="16" xfId="0" applyFont="1" applyFill="1" applyBorder="1" applyAlignment="1" applyProtection="1">
      <alignment horizontal="center" vertical="center"/>
    </xf>
    <xf numFmtId="0" fontId="13" fillId="6" borderId="13" xfId="0" applyFont="1" applyFill="1" applyBorder="1" applyAlignment="1">
      <alignment horizontal="center"/>
    </xf>
    <xf numFmtId="0" fontId="13" fillId="6" borderId="32" xfId="0" applyFont="1" applyFill="1" applyBorder="1" applyAlignment="1">
      <alignment horizontal="center"/>
    </xf>
    <xf numFmtId="0" fontId="13" fillId="6" borderId="16" xfId="0" applyFont="1" applyFill="1" applyBorder="1" applyAlignment="1">
      <alignment horizontal="center"/>
    </xf>
    <xf numFmtId="0" fontId="3" fillId="14" borderId="22" xfId="0" applyFont="1" applyFill="1" applyBorder="1" applyAlignment="1">
      <alignment wrapText="1"/>
    </xf>
    <xf numFmtId="0" fontId="3" fillId="14" borderId="0" xfId="0" applyFont="1" applyFill="1" applyBorder="1" applyAlignment="1">
      <alignment wrapText="1"/>
    </xf>
    <xf numFmtId="0" fontId="3" fillId="14" borderId="23" xfId="0" applyFont="1" applyFill="1" applyBorder="1" applyAlignment="1">
      <alignment wrapText="1"/>
    </xf>
    <xf numFmtId="0" fontId="14" fillId="14" borderId="22" xfId="0" applyFont="1" applyFill="1" applyBorder="1" applyAlignment="1">
      <alignment horizontal="center" wrapText="1"/>
    </xf>
    <xf numFmtId="0" fontId="3" fillId="14" borderId="0" xfId="0" applyFont="1" applyFill="1" applyBorder="1" applyAlignment="1">
      <alignment horizontal="center" wrapText="1"/>
    </xf>
    <xf numFmtId="0" fontId="3" fillId="14" borderId="23" xfId="0" applyFont="1" applyFill="1" applyBorder="1" applyAlignment="1">
      <alignment horizontal="center" wrapText="1"/>
    </xf>
    <xf numFmtId="0" fontId="3" fillId="14" borderId="22" xfId="0" applyFont="1" applyFill="1" applyBorder="1" applyAlignment="1">
      <alignment horizontal="center" wrapText="1"/>
    </xf>
  </cellXfs>
  <cellStyles count="7">
    <cellStyle name="Comma" xfId="1" builtinId="3"/>
    <cellStyle name="Currency" xfId="2" builtinId="4"/>
    <cellStyle name="Input Data" xfId="3"/>
    <cellStyle name="Normal" xfId="0" builtinId="0"/>
    <cellStyle name="Percent" xfId="4" builtinId="5"/>
    <cellStyle name="Table" xfId="5"/>
    <cellStyle name="Text" xfId="6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1021080</xdr:colOff>
          <xdr:row>82</xdr:row>
          <xdr:rowOff>22860</xdr:rowOff>
        </xdr:from>
        <xdr:to>
          <xdr:col>5</xdr:col>
          <xdr:colOff>1203960</xdr:colOff>
          <xdr:row>87</xdr:row>
          <xdr:rowOff>0</xdr:rowOff>
        </xdr:to>
        <xdr:sp macro="" textlink="">
          <xdr:nvSpPr>
            <xdr:cNvPr id="1025" name="btnClea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 to clear entries</a:t>
              </a:r>
            </a:p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(Yellow Cells)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45</xdr:row>
          <xdr:rowOff>22860</xdr:rowOff>
        </xdr:from>
        <xdr:to>
          <xdr:col>3</xdr:col>
          <xdr:colOff>1249680</xdr:colOff>
          <xdr:row>49</xdr:row>
          <xdr:rowOff>190500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 here to enter supplementary income: </a:t>
              </a:r>
            </a:p>
            <a:p>
              <a:pPr algn="ctr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Overtime/Allowances</a:t>
              </a:r>
            </a:p>
            <a:p>
              <a:pPr algn="ctr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Commission/Bonus</a:t>
              </a:r>
            </a:p>
            <a:p>
              <a:pPr algn="ctr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Govt. Benefits</a:t>
              </a:r>
            </a:p>
            <a:p>
              <a:pPr algn="ctr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Tax Free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82</xdr:row>
          <xdr:rowOff>22860</xdr:rowOff>
        </xdr:from>
        <xdr:to>
          <xdr:col>4</xdr:col>
          <xdr:colOff>876300</xdr:colOff>
          <xdr:row>87</xdr:row>
          <xdr:rowOff>0</xdr:rowOff>
        </xdr:to>
        <xdr:sp macro="" textlink="">
          <xdr:nvSpPr>
            <xdr:cNvPr id="1660" name="Button 636" hidden="1">
              <a:extLst>
                <a:ext uri="{63B3BB69-23CF-44E3-9099-C40C66FF867C}">
                  <a14:compatExt spid="_x0000_s1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0" anchor="t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 to print</a:t>
              </a:r>
            </a:p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'Calculator' and 'Supplementary  Income'</a:t>
              </a:r>
            </a:p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Worksheets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8</xdr:col>
      <xdr:colOff>1362075</xdr:colOff>
      <xdr:row>0</xdr:row>
      <xdr:rowOff>819150</xdr:rowOff>
    </xdr:to>
    <xdr:pic>
      <xdr:nvPicPr>
        <xdr:cNvPr id="1907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1610975" cy="819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1143000</xdr:colOff>
          <xdr:row>20</xdr:row>
          <xdr:rowOff>83820</xdr:rowOff>
        </xdr:from>
        <xdr:to>
          <xdr:col>7</xdr:col>
          <xdr:colOff>198120</xdr:colOff>
          <xdr:row>26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here to return to</a:t>
              </a:r>
            </a:p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main 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20</xdr:row>
          <xdr:rowOff>68580</xdr:rowOff>
        </xdr:from>
        <xdr:to>
          <xdr:col>9</xdr:col>
          <xdr:colOff>7620</xdr:colOff>
          <xdr:row>26</xdr:row>
          <xdr:rowOff>7620</xdr:rowOff>
        </xdr:to>
        <xdr:sp macro="" textlink="">
          <xdr:nvSpPr>
            <xdr:cNvPr id="6167" name="Button 23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0" anchor="t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print</a:t>
              </a:r>
            </a:p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'Calculator' and 'Supplementary  Income'</a:t>
              </a:r>
            </a:p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Worksheets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A121"/>
  <sheetViews>
    <sheetView showGridLines="0" tabSelected="1" showRuler="0" topLeftCell="A43" zoomScale="85" zoomScaleNormal="85" zoomScalePageLayoutView="70" workbookViewId="0">
      <selection activeCell="AD13" sqref="AD13"/>
    </sheetView>
  </sheetViews>
  <sheetFormatPr defaultColWidth="9.109375" defaultRowHeight="13.8" x14ac:dyDescent="0.25"/>
  <cols>
    <col min="1" max="1" width="28.6640625" style="105" customWidth="1"/>
    <col min="2" max="2" width="9.33203125" style="105" customWidth="1"/>
    <col min="3" max="3" width="18" style="105" customWidth="1"/>
    <col min="4" max="5" width="18.88671875" style="105" customWidth="1"/>
    <col min="6" max="6" width="25.109375" style="105" customWidth="1"/>
    <col min="7" max="7" width="19.109375" style="105" customWidth="1"/>
    <col min="8" max="8" width="15.6640625" style="105" customWidth="1"/>
    <col min="9" max="9" width="21" style="105" customWidth="1"/>
    <col min="10" max="15" width="18.33203125" style="164" hidden="1" customWidth="1"/>
    <col min="16" max="17" width="8.6640625" style="164" hidden="1" customWidth="1"/>
    <col min="18" max="18" width="10.33203125" style="164" hidden="1" customWidth="1"/>
    <col min="19" max="19" width="30.6640625" style="164" hidden="1" customWidth="1"/>
    <col min="20" max="20" width="45.109375" style="164" hidden="1" customWidth="1"/>
    <col min="21" max="21" width="42.109375" style="164" hidden="1" customWidth="1"/>
    <col min="22" max="22" width="60.44140625" style="164" hidden="1" customWidth="1"/>
    <col min="23" max="23" width="34.109375" style="164" hidden="1" customWidth="1"/>
    <col min="24" max="24" width="41.109375" style="164" hidden="1" customWidth="1"/>
    <col min="25" max="25" width="24.44140625" style="164" hidden="1" customWidth="1"/>
    <col min="26" max="26" width="57.6640625" style="164" hidden="1" customWidth="1"/>
    <col min="27" max="16384" width="9.109375" style="105"/>
  </cols>
  <sheetData>
    <row r="1" spans="1:12" ht="66.75" customHeight="1" x14ac:dyDescent="0.25">
      <c r="A1" s="320"/>
      <c r="B1" s="320"/>
      <c r="C1" s="320"/>
      <c r="D1" s="320"/>
      <c r="E1" s="320"/>
      <c r="F1" s="320"/>
      <c r="G1" s="320"/>
      <c r="H1" s="320"/>
      <c r="I1" s="320"/>
    </row>
    <row r="2" spans="1:12" ht="27.75" hidden="1" customHeight="1" x14ac:dyDescent="0.25"/>
    <row r="3" spans="1:12" x14ac:dyDescent="0.25">
      <c r="C3" s="251"/>
    </row>
    <row r="4" spans="1:12" ht="14.25" customHeight="1" x14ac:dyDescent="0.25">
      <c r="A4" s="106" t="s">
        <v>0</v>
      </c>
      <c r="B4" s="107"/>
      <c r="H4" s="108" t="s">
        <v>86</v>
      </c>
      <c r="I4" s="108">
        <f ca="1">NOW()</f>
        <v>43383.450565856481</v>
      </c>
    </row>
    <row r="5" spans="1:12" ht="12" customHeight="1" x14ac:dyDescent="0.25">
      <c r="A5" s="109" t="s">
        <v>180</v>
      </c>
      <c r="B5" s="110"/>
      <c r="C5" s="156"/>
    </row>
    <row r="6" spans="1:12" ht="3.75" customHeight="1" thickBot="1" x14ac:dyDescent="0.3">
      <c r="A6" s="112"/>
      <c r="B6" s="112"/>
      <c r="C6" s="112"/>
      <c r="D6" s="112"/>
      <c r="E6" s="112"/>
      <c r="F6" s="112"/>
      <c r="G6" s="112"/>
      <c r="H6" s="112"/>
      <c r="I6" s="112"/>
      <c r="J6" s="165"/>
      <c r="K6" s="165"/>
    </row>
    <row r="7" spans="1:12" ht="7.5" customHeight="1" x14ac:dyDescent="0.25"/>
    <row r="8" spans="1:12" x14ac:dyDescent="0.25">
      <c r="A8" s="114" t="s">
        <v>1</v>
      </c>
      <c r="B8" s="114"/>
      <c r="C8" s="304"/>
      <c r="D8" s="305"/>
      <c r="E8" s="113"/>
      <c r="I8" s="113"/>
      <c r="L8" s="166"/>
    </row>
    <row r="9" spans="1:12" x14ac:dyDescent="0.25">
      <c r="G9" s="312" t="s">
        <v>17</v>
      </c>
      <c r="H9" s="313"/>
    </row>
    <row r="10" spans="1:12" x14ac:dyDescent="0.25">
      <c r="A10" s="157" t="s">
        <v>88</v>
      </c>
      <c r="B10" s="156"/>
      <c r="C10" s="156"/>
      <c r="D10" s="156"/>
      <c r="E10" s="156"/>
      <c r="H10" s="116" t="s">
        <v>174</v>
      </c>
      <c r="I10" s="159"/>
    </row>
    <row r="11" spans="1:12" ht="12.75" customHeight="1" x14ac:dyDescent="0.25">
      <c r="A11" s="157" t="s">
        <v>89</v>
      </c>
      <c r="B11" s="156"/>
      <c r="C11" s="156"/>
      <c r="D11" s="156"/>
      <c r="E11" s="158"/>
      <c r="F11" s="113"/>
      <c r="H11" s="117" t="s">
        <v>62</v>
      </c>
      <c r="I11" s="118"/>
    </row>
    <row r="12" spans="1:12" x14ac:dyDescent="0.25">
      <c r="A12" s="157" t="s">
        <v>90</v>
      </c>
      <c r="B12" s="156"/>
      <c r="C12" s="156"/>
      <c r="D12" s="156"/>
      <c r="E12" s="158"/>
      <c r="F12" s="113"/>
      <c r="H12" s="116" t="s">
        <v>16</v>
      </c>
      <c r="I12" s="119"/>
    </row>
    <row r="13" spans="1:12" ht="133.5" customHeight="1" x14ac:dyDescent="0.25">
      <c r="A13" s="306" t="s">
        <v>118</v>
      </c>
      <c r="B13" s="307"/>
      <c r="C13" s="307"/>
      <c r="D13" s="307"/>
      <c r="E13" s="307"/>
      <c r="G13" s="318" t="s">
        <v>91</v>
      </c>
      <c r="H13" s="319"/>
      <c r="I13" s="319"/>
    </row>
    <row r="14" spans="1:12" ht="3.75" customHeight="1" thickBot="1" x14ac:dyDescent="0.3">
      <c r="A14" s="112"/>
      <c r="B14" s="112"/>
      <c r="C14" s="112"/>
      <c r="D14" s="112"/>
      <c r="E14" s="112"/>
      <c r="F14" s="112"/>
      <c r="G14" s="112"/>
      <c r="H14" s="112"/>
      <c r="I14" s="112"/>
      <c r="J14" s="167"/>
    </row>
    <row r="16" spans="1:12" x14ac:dyDescent="0.25">
      <c r="A16" s="121" t="s">
        <v>19</v>
      </c>
      <c r="B16" s="107"/>
    </row>
    <row r="17" spans="1:26" x14ac:dyDescent="0.25">
      <c r="B17" s="114"/>
    </row>
    <row r="18" spans="1:26" x14ac:dyDescent="0.25">
      <c r="A18" s="156" t="s">
        <v>94</v>
      </c>
      <c r="C18" s="252"/>
      <c r="F18" s="122"/>
      <c r="G18" s="123"/>
      <c r="I18" s="113"/>
    </row>
    <row r="19" spans="1:26" ht="9" customHeight="1" x14ac:dyDescent="0.25">
      <c r="A19" s="156"/>
    </row>
    <row r="20" spans="1:26" x14ac:dyDescent="0.25">
      <c r="A20" s="156" t="s">
        <v>105</v>
      </c>
      <c r="C20" s="253"/>
      <c r="D20" s="124"/>
    </row>
    <row r="21" spans="1:26" x14ac:dyDescent="0.25">
      <c r="A21" s="125" t="s">
        <v>53</v>
      </c>
      <c r="C21" s="253"/>
    </row>
    <row r="22" spans="1:26" x14ac:dyDescent="0.25">
      <c r="A22" s="156" t="s">
        <v>49</v>
      </c>
      <c r="C22" s="253"/>
      <c r="E22" s="124"/>
    </row>
    <row r="23" spans="1:26" x14ac:dyDescent="0.25">
      <c r="A23" s="156"/>
      <c r="C23" s="254"/>
      <c r="D23" s="123"/>
      <c r="E23" s="123"/>
      <c r="G23" s="312" t="s">
        <v>15</v>
      </c>
      <c r="H23" s="313"/>
      <c r="I23" s="126"/>
    </row>
    <row r="24" spans="1:26" x14ac:dyDescent="0.25">
      <c r="A24" s="156" t="s">
        <v>18</v>
      </c>
      <c r="C24" s="253"/>
      <c r="D24" s="123"/>
      <c r="E24" s="186"/>
      <c r="F24" s="110"/>
      <c r="H24" s="116" t="s">
        <v>14</v>
      </c>
      <c r="I24" s="255"/>
    </row>
    <row r="25" spans="1:26" x14ac:dyDescent="0.25">
      <c r="A25" s="156" t="s">
        <v>22</v>
      </c>
      <c r="C25" s="256"/>
      <c r="D25" s="257" t="s">
        <v>171</v>
      </c>
      <c r="E25" s="187"/>
      <c r="H25" s="116" t="s">
        <v>21</v>
      </c>
      <c r="I25" s="255"/>
    </row>
    <row r="26" spans="1:26" ht="14.4" thickBot="1" x14ac:dyDescent="0.3">
      <c r="A26" s="156" t="s">
        <v>85</v>
      </c>
      <c r="B26" s="123">
        <f>IF(C26="Prime",1,2)</f>
        <v>2</v>
      </c>
      <c r="C26" s="258"/>
      <c r="D26" s="123" t="s">
        <v>176</v>
      </c>
      <c r="E26" s="187"/>
      <c r="H26" s="116" t="s">
        <v>3</v>
      </c>
      <c r="I26" s="128">
        <f>SUM(I24:I25)</f>
        <v>0</v>
      </c>
    </row>
    <row r="27" spans="1:26" ht="14.4" thickBot="1" x14ac:dyDescent="0.3">
      <c r="A27" s="156" t="s">
        <v>79</v>
      </c>
      <c r="C27" s="131" t="e">
        <f>IF(VLOOKUP(mortgageInsurer,listMortgageInsurersData,2,FALSE)=0,rate+VLOOKUP(mortgageInsurer,listMortgageInsurersData,3,FALSE),IF(VLOOKUP(mortgageInsurer,listMortgageInsurersData,3,FALSE)=0,VLOOKUP(mortgageInsurer,listMortgageInsurersData,2,FALSE),MAX(VLOOKUP(mortgageInsurer,listMortgageInsurersData,2,FALSE),rate+VLOOKUP(mortgageInsurer,listMortgageInsurersData,3,FALSE))))</f>
        <v>#N/A</v>
      </c>
      <c r="D27" s="123"/>
      <c r="E27" s="187"/>
      <c r="F27" s="132"/>
      <c r="H27" s="129" t="s">
        <v>2</v>
      </c>
      <c r="I27" s="130" t="e">
        <f>C36/I26</f>
        <v>#DIV/0!</v>
      </c>
    </row>
    <row r="28" spans="1:26" x14ac:dyDescent="0.25">
      <c r="A28" s="156"/>
      <c r="C28" s="259"/>
      <c r="E28" s="124"/>
    </row>
    <row r="29" spans="1:26" ht="28.2" x14ac:dyDescent="0.3">
      <c r="A29" s="189"/>
      <c r="B29" s="189"/>
      <c r="C29" s="260" t="s">
        <v>131</v>
      </c>
      <c r="D29" s="261" t="s">
        <v>143</v>
      </c>
      <c r="E29" s="197" t="s">
        <v>138</v>
      </c>
      <c r="F29" s="196" t="s">
        <v>139</v>
      </c>
      <c r="G29" s="321" t="s">
        <v>144</v>
      </c>
      <c r="H29" s="321"/>
      <c r="I29" s="321"/>
      <c r="Y29" s="105"/>
      <c r="Z29" s="105"/>
    </row>
    <row r="30" spans="1:26" x14ac:dyDescent="0.25">
      <c r="A30" s="262" t="s">
        <v>145</v>
      </c>
      <c r="B30" s="263"/>
      <c r="C30" s="264"/>
      <c r="D30" s="265"/>
      <c r="E30" s="194" t="e">
        <f t="shared" ref="E30:E35" si="0">-PMT(($C$27/12),(($C$24-D30)*12),C30,0)</f>
        <v>#N/A</v>
      </c>
      <c r="F30" s="195" t="e">
        <f t="shared" ref="F30:F35" si="1">-PMT(($C$25/12),(($C$24-D30)*12),C30,0)</f>
        <v>#NUM!</v>
      </c>
      <c r="I30" s="164"/>
      <c r="Y30" s="105"/>
      <c r="Z30" s="105"/>
    </row>
    <row r="31" spans="1:26" x14ac:dyDescent="0.25">
      <c r="A31" s="262" t="s">
        <v>126</v>
      </c>
      <c r="B31" s="263"/>
      <c r="C31" s="264"/>
      <c r="D31" s="265"/>
      <c r="E31" s="194" t="e">
        <f t="shared" si="0"/>
        <v>#N/A</v>
      </c>
      <c r="F31" s="195" t="e">
        <f t="shared" si="1"/>
        <v>#NUM!</v>
      </c>
      <c r="I31" s="164"/>
      <c r="Y31" s="105"/>
      <c r="Z31" s="105"/>
    </row>
    <row r="32" spans="1:26" x14ac:dyDescent="0.25">
      <c r="A32" s="262" t="s">
        <v>127</v>
      </c>
      <c r="B32" s="263"/>
      <c r="C32" s="264"/>
      <c r="D32" s="265"/>
      <c r="E32" s="194" t="e">
        <f t="shared" si="0"/>
        <v>#N/A</v>
      </c>
      <c r="F32" s="195" t="e">
        <f t="shared" si="1"/>
        <v>#NUM!</v>
      </c>
      <c r="I32" s="164"/>
      <c r="Y32" s="105"/>
      <c r="Z32" s="105"/>
    </row>
    <row r="33" spans="1:27" x14ac:dyDescent="0.25">
      <c r="A33" s="262" t="s">
        <v>128</v>
      </c>
      <c r="B33" s="263"/>
      <c r="C33" s="264"/>
      <c r="D33" s="265"/>
      <c r="E33" s="194" t="e">
        <f t="shared" si="0"/>
        <v>#N/A</v>
      </c>
      <c r="F33" s="195" t="e">
        <f t="shared" si="1"/>
        <v>#NUM!</v>
      </c>
      <c r="I33" s="164"/>
      <c r="Y33" s="105"/>
      <c r="Z33" s="105"/>
    </row>
    <row r="34" spans="1:27" x14ac:dyDescent="0.25">
      <c r="A34" s="262" t="s">
        <v>129</v>
      </c>
      <c r="B34" s="263"/>
      <c r="C34" s="264"/>
      <c r="D34" s="265"/>
      <c r="E34" s="194" t="e">
        <f t="shared" si="0"/>
        <v>#N/A</v>
      </c>
      <c r="F34" s="195" t="e">
        <f t="shared" si="1"/>
        <v>#NUM!</v>
      </c>
      <c r="I34" s="164"/>
      <c r="Y34" s="105"/>
      <c r="Z34" s="105"/>
    </row>
    <row r="35" spans="1:27" x14ac:dyDescent="0.25">
      <c r="A35" s="262" t="s">
        <v>130</v>
      </c>
      <c r="B35" s="263"/>
      <c r="C35" s="266"/>
      <c r="D35" s="265"/>
      <c r="E35" s="194" t="e">
        <f t="shared" si="0"/>
        <v>#N/A</v>
      </c>
      <c r="F35" s="195" t="e">
        <f t="shared" si="1"/>
        <v>#NUM!</v>
      </c>
      <c r="I35" s="164"/>
      <c r="Y35" s="105"/>
      <c r="Z35" s="105"/>
    </row>
    <row r="36" spans="1:27" x14ac:dyDescent="0.25">
      <c r="A36" s="267" t="s">
        <v>140</v>
      </c>
      <c r="B36" s="268"/>
      <c r="C36" s="269">
        <f>SUM(C30:C35)</f>
        <v>0</v>
      </c>
      <c r="D36" s="270"/>
      <c r="E36" s="190" t="e">
        <f>SUM(E30:E35)</f>
        <v>#N/A</v>
      </c>
      <c r="F36" s="190" t="e">
        <f>SUM(F30:F35)</f>
        <v>#NUM!</v>
      </c>
      <c r="I36" s="164"/>
      <c r="Y36" s="105"/>
      <c r="Z36" s="105"/>
    </row>
    <row r="37" spans="1:27" x14ac:dyDescent="0.25">
      <c r="C37" s="268"/>
      <c r="D37" s="254"/>
      <c r="E37" s="271"/>
      <c r="F37" s="271"/>
      <c r="G37" s="272"/>
      <c r="H37" s="191"/>
      <c r="I37" s="191"/>
      <c r="Z37" s="105"/>
    </row>
    <row r="38" spans="1:27" ht="15" customHeight="1" x14ac:dyDescent="0.25">
      <c r="A38" s="105" t="s">
        <v>141</v>
      </c>
      <c r="C38" s="273"/>
      <c r="D38" s="293" t="s">
        <v>179</v>
      </c>
      <c r="E38" s="294"/>
      <c r="F38" s="294"/>
      <c r="G38" s="294"/>
      <c r="H38" s="294"/>
      <c r="I38" s="294"/>
      <c r="J38" s="175"/>
      <c r="K38" s="176"/>
      <c r="Z38" s="105"/>
    </row>
    <row r="39" spans="1:27" x14ac:dyDescent="0.25">
      <c r="A39" s="105" t="s">
        <v>142</v>
      </c>
      <c r="C39" s="274">
        <f>C36-C38</f>
        <v>0</v>
      </c>
      <c r="D39" s="275" t="s">
        <v>178</v>
      </c>
      <c r="E39" s="271"/>
      <c r="F39" s="276"/>
      <c r="G39" s="272"/>
      <c r="H39" s="191"/>
      <c r="I39" s="191"/>
      <c r="Z39" s="105"/>
    </row>
    <row r="40" spans="1:27" x14ac:dyDescent="0.25">
      <c r="Z40" s="105"/>
    </row>
    <row r="41" spans="1:27" ht="14.4" thickBot="1" x14ac:dyDescent="0.3">
      <c r="A41" s="112"/>
      <c r="B41" s="112"/>
      <c r="C41" s="112"/>
      <c r="D41" s="112"/>
      <c r="E41" s="112"/>
      <c r="F41" s="112"/>
      <c r="G41" s="112"/>
      <c r="H41" s="112"/>
      <c r="I41" s="112"/>
    </row>
    <row r="43" spans="1:27" x14ac:dyDescent="0.25">
      <c r="A43" s="121" t="s">
        <v>116</v>
      </c>
      <c r="B43" s="107"/>
    </row>
    <row r="44" spans="1:27" x14ac:dyDescent="0.25">
      <c r="A44" s="114"/>
      <c r="B44" s="114"/>
      <c r="J44" s="168"/>
      <c r="K44" s="167"/>
    </row>
    <row r="45" spans="1:27" ht="55.8" thickBot="1" x14ac:dyDescent="0.3">
      <c r="A45" s="133"/>
      <c r="B45" s="134" t="s">
        <v>117</v>
      </c>
      <c r="C45" s="135" t="s">
        <v>149</v>
      </c>
      <c r="D45" s="208" t="s">
        <v>153</v>
      </c>
      <c r="E45" s="135" t="s">
        <v>154</v>
      </c>
      <c r="F45" s="135" t="s">
        <v>58</v>
      </c>
      <c r="G45" s="134" t="s">
        <v>124</v>
      </c>
      <c r="H45" s="134" t="s">
        <v>123</v>
      </c>
      <c r="I45" s="134" t="s">
        <v>125</v>
      </c>
      <c r="J45" s="214"/>
    </row>
    <row r="46" spans="1:27" x14ac:dyDescent="0.25">
      <c r="A46" s="105" t="s">
        <v>45</v>
      </c>
      <c r="B46" s="277"/>
      <c r="C46" s="278"/>
      <c r="D46" s="203"/>
      <c r="E46" s="202">
        <f>'Supplementary Income'!I16</f>
        <v>0</v>
      </c>
      <c r="F46" s="202">
        <f>IF(K49=0,0,IF($C$67&gt;0,$C$67/J$49,0))</f>
        <v>0</v>
      </c>
      <c r="G46" s="136">
        <f>IF(O49=1,$C$78/ -O$53,0)</f>
        <v>0</v>
      </c>
      <c r="H46" s="127">
        <f>AUTO_GrossIncome+('Supplementary Income'!I16-AUTO_SocialSecurityIncome)+F46-G46</f>
        <v>0</v>
      </c>
      <c r="I46" s="199">
        <f>Tables!C$43</f>
        <v>0</v>
      </c>
      <c r="J46" s="214"/>
      <c r="W46" s="228"/>
      <c r="AA46" s="123">
        <f>IF(AND(C46&gt;0.9,B46=""),1,2)</f>
        <v>2</v>
      </c>
    </row>
    <row r="47" spans="1:27" x14ac:dyDescent="0.25">
      <c r="A47" s="105" t="s">
        <v>46</v>
      </c>
      <c r="B47" s="277"/>
      <c r="C47" s="278"/>
      <c r="D47" s="204"/>
      <c r="E47" s="202">
        <f>'Supplementary Income'!I17</f>
        <v>0</v>
      </c>
      <c r="F47" s="202">
        <f>IF(K50=0,0,IF($C$67&gt;0,$C$67/J$49,0))</f>
        <v>0</v>
      </c>
      <c r="G47" s="136">
        <f>IF(O50=1,$C$78/ -O$53,0)</f>
        <v>0</v>
      </c>
      <c r="H47" s="127">
        <f>AUTO_GrossIncome2+('Supplementary Income'!I17-AUTO_SocialSecurityIncome2)+F47-G47</f>
        <v>0</v>
      </c>
      <c r="I47" s="199">
        <f>Tables!D$43</f>
        <v>0</v>
      </c>
      <c r="J47" s="214"/>
      <c r="AA47" s="123">
        <f>IF(AND(C47&gt;0.9,B47=""),1,2)</f>
        <v>2</v>
      </c>
    </row>
    <row r="48" spans="1:27" ht="13.5" customHeight="1" x14ac:dyDescent="0.25">
      <c r="A48" s="105" t="s">
        <v>47</v>
      </c>
      <c r="B48" s="277"/>
      <c r="C48" s="278"/>
      <c r="D48" s="204"/>
      <c r="E48" s="202">
        <f>'Supplementary Income'!I18</f>
        <v>0</v>
      </c>
      <c r="F48" s="202">
        <f>IF(K51=0,0,IF($C$67&gt;0,$C$67/J$49,0))</f>
        <v>0</v>
      </c>
      <c r="G48" s="136">
        <f>IF(O51=1,$C$78/ -O$53,0)</f>
        <v>0</v>
      </c>
      <c r="H48" s="127">
        <f>AUTO_GrossIncome3+('Supplementary Income'!I18-AUTO_SocialSecurityIncome3)+F48-G48</f>
        <v>0</v>
      </c>
      <c r="I48" s="199">
        <f>Tables!E$43</f>
        <v>0</v>
      </c>
      <c r="J48" s="214"/>
      <c r="M48" s="169" t="s">
        <v>65</v>
      </c>
      <c r="N48" s="169" t="s">
        <v>66</v>
      </c>
      <c r="AA48" s="123">
        <f>IF(AND(C48&gt;0.9,B48=""),1,2)</f>
        <v>2</v>
      </c>
    </row>
    <row r="49" spans="1:27" ht="14.25" customHeight="1" thickBot="1" x14ac:dyDescent="0.3">
      <c r="A49" s="105" t="s">
        <v>48</v>
      </c>
      <c r="B49" s="277"/>
      <c r="C49" s="279"/>
      <c r="D49" s="204"/>
      <c r="E49" s="202">
        <f>'Supplementary Income'!I19</f>
        <v>0</v>
      </c>
      <c r="F49" s="202">
        <f>IF(K52=0,0,IF($C$67&gt;0,$C$67/J$49,0))</f>
        <v>0</v>
      </c>
      <c r="G49" s="136">
        <f>IF(O52=1,$C$78/ -O$53,0)</f>
        <v>0</v>
      </c>
      <c r="H49" s="127">
        <f>AUTO_GrossIncome4+('Supplementary Income'!I19-AUTO_SocialSecurityIncome4)+F49-G49</f>
        <v>0</v>
      </c>
      <c r="I49" s="200">
        <f>Tables!F$43</f>
        <v>0</v>
      </c>
      <c r="J49" s="216">
        <f>SUM(K49:K52)</f>
        <v>0</v>
      </c>
      <c r="K49" s="170">
        <f>IF(B46&lt;&gt;"",VLOOKUP(B46,L49:M52,2,FALSE),0)</f>
        <v>0</v>
      </c>
      <c r="L49" s="170" t="s">
        <v>41</v>
      </c>
      <c r="M49" s="170">
        <v>0</v>
      </c>
      <c r="N49" s="164">
        <v>1</v>
      </c>
      <c r="O49" s="170">
        <f>IF(B46&lt;&gt;"",VLOOKUP(B46,L$49:N$52,3,FALSE),0)</f>
        <v>0</v>
      </c>
      <c r="AA49" s="123">
        <f>IF(AND(C49&gt;0.9,B49=""),1,2)</f>
        <v>2</v>
      </c>
    </row>
    <row r="50" spans="1:27" ht="14.4" thickBot="1" x14ac:dyDescent="0.3">
      <c r="A50" s="114" t="s">
        <v>43</v>
      </c>
      <c r="B50" s="137"/>
      <c r="C50" s="139">
        <f>SUM(C46:C49)</f>
        <v>0</v>
      </c>
      <c r="D50" s="205"/>
      <c r="E50" s="182">
        <f>SUM(E46:E49)</f>
        <v>0</v>
      </c>
      <c r="F50" s="182">
        <f>SUM(F46:F49)</f>
        <v>0</v>
      </c>
      <c r="G50" s="138">
        <f>SUM(G46:G49)</f>
        <v>0</v>
      </c>
      <c r="H50" s="139">
        <f>SUM(H46:H49)</f>
        <v>0</v>
      </c>
      <c r="I50" s="201">
        <f>SUM(I46:I49)</f>
        <v>0</v>
      </c>
      <c r="J50" s="215"/>
      <c r="K50" s="170">
        <f>IF(B47&lt;&gt;"",VLOOKUP(B47,L49:M52,2,FALSE),0)</f>
        <v>0</v>
      </c>
      <c r="L50" s="170" t="s">
        <v>50</v>
      </c>
      <c r="M50" s="170">
        <v>1</v>
      </c>
      <c r="N50" s="164">
        <v>1</v>
      </c>
      <c r="O50" s="170">
        <f>IF(B47&lt;&gt;"",VLOOKUP(B47,L$49:N$52,3,FALSE),0)</f>
        <v>0</v>
      </c>
      <c r="W50" s="228"/>
    </row>
    <row r="51" spans="1:27" x14ac:dyDescent="0.25">
      <c r="A51" s="114"/>
      <c r="B51" s="181"/>
      <c r="C51" s="179"/>
      <c r="D51" s="179"/>
      <c r="E51" s="179"/>
      <c r="F51" s="179"/>
      <c r="G51" s="179"/>
      <c r="H51" s="179"/>
      <c r="I51" s="179"/>
      <c r="J51" s="215"/>
      <c r="K51" s="170">
        <f>IF(B48&lt;&gt;"",VLOOKUP(B48,L49:M52,2,FALSE),0)</f>
        <v>0</v>
      </c>
      <c r="L51" s="170" t="s">
        <v>52</v>
      </c>
      <c r="M51" s="170">
        <v>0</v>
      </c>
      <c r="N51" s="164">
        <v>0</v>
      </c>
      <c r="O51" s="170">
        <f>IF(B48&lt;&gt;"",VLOOKUP(B48,L$49:N$52,3,FALSE),0)</f>
        <v>0</v>
      </c>
    </row>
    <row r="52" spans="1:27" ht="27.6" x14ac:dyDescent="0.3">
      <c r="A52" s="183" t="s">
        <v>106</v>
      </c>
      <c r="C52" s="184" t="s">
        <v>120</v>
      </c>
      <c r="D52" s="185" t="s">
        <v>122</v>
      </c>
      <c r="E52" s="184" t="s">
        <v>119</v>
      </c>
      <c r="F52" s="184" t="s">
        <v>121</v>
      </c>
      <c r="G52" s="170"/>
      <c r="H52" s="170"/>
      <c r="I52" s="170"/>
      <c r="J52" s="215"/>
      <c r="K52" s="170">
        <f>IF(B49&lt;&gt;"",VLOOKUP(B49,L49:M52,2,FALSE),0)</f>
        <v>0</v>
      </c>
      <c r="L52" s="170" t="s">
        <v>51</v>
      </c>
      <c r="M52" s="170">
        <v>1</v>
      </c>
      <c r="N52" s="164">
        <v>0</v>
      </c>
      <c r="O52" s="170">
        <f>IF(B49&lt;&gt;"",VLOOKUP(B49,L$49:N$52,3,FALSE),0)</f>
        <v>0</v>
      </c>
    </row>
    <row r="53" spans="1:27" ht="14.4" x14ac:dyDescent="0.3">
      <c r="C53" s="280"/>
      <c r="D53" s="180">
        <f>IF(C53&gt;0,C53*0.3,0)</f>
        <v>0</v>
      </c>
      <c r="E53" s="280"/>
      <c r="F53" s="180">
        <f>C53-D53+E53</f>
        <v>0</v>
      </c>
      <c r="G53" s="164"/>
      <c r="H53" s="164"/>
      <c r="I53" s="164"/>
      <c r="J53" s="170"/>
      <c r="K53" s="170"/>
      <c r="L53" s="170"/>
      <c r="M53" s="170"/>
      <c r="O53" s="164">
        <f>SUM(O49:O52)</f>
        <v>0</v>
      </c>
    </row>
    <row r="54" spans="1:27" x14ac:dyDescent="0.25">
      <c r="J54" s="170"/>
      <c r="K54" s="170"/>
      <c r="L54" s="170"/>
      <c r="M54" s="170"/>
    </row>
    <row r="55" spans="1:27" x14ac:dyDescent="0.25">
      <c r="A55" s="115" t="s">
        <v>113</v>
      </c>
    </row>
    <row r="56" spans="1:27" x14ac:dyDescent="0.25">
      <c r="A56" s="156" t="s">
        <v>169</v>
      </c>
      <c r="B56" s="156"/>
      <c r="C56" s="281"/>
      <c r="D56" s="156"/>
      <c r="E56" s="156"/>
      <c r="F56" s="156"/>
      <c r="G56" s="156"/>
      <c r="H56" s="156"/>
      <c r="I56" s="156"/>
      <c r="W56" s="105"/>
      <c r="X56" s="105"/>
      <c r="Y56" s="105"/>
      <c r="Z56" s="105"/>
    </row>
    <row r="57" spans="1:27" ht="14.4" x14ac:dyDescent="0.3">
      <c r="A57" s="162" t="s">
        <v>168</v>
      </c>
      <c r="B57" s="156"/>
      <c r="C57" s="156"/>
      <c r="D57" s="156"/>
      <c r="E57" s="156"/>
      <c r="F57" s="156"/>
      <c r="G57" s="156"/>
      <c r="H57" s="156"/>
      <c r="I57" s="156"/>
      <c r="W57" s="105"/>
      <c r="X57" s="105"/>
      <c r="Y57" s="105"/>
      <c r="Z57" s="105"/>
    </row>
    <row r="58" spans="1:27" hidden="1" x14ac:dyDescent="0.25">
      <c r="A58" s="156"/>
      <c r="B58" s="156"/>
      <c r="C58" s="155"/>
      <c r="D58" s="156"/>
      <c r="E58" s="156"/>
      <c r="F58" s="156"/>
      <c r="G58" s="156"/>
      <c r="H58" s="156"/>
      <c r="I58" s="156"/>
    </row>
    <row r="59" spans="1:27" ht="14.25" hidden="1" customHeight="1" x14ac:dyDescent="0.3">
      <c r="A59" s="308"/>
      <c r="B59" s="308"/>
      <c r="C59" s="308"/>
      <c r="D59" s="308"/>
      <c r="E59" s="308"/>
      <c r="F59" s="308"/>
      <c r="G59" s="308"/>
      <c r="H59" s="308"/>
      <c r="I59" s="308"/>
    </row>
    <row r="60" spans="1:27" x14ac:dyDescent="0.25">
      <c r="C60" s="155">
        <f>LOOKUP(C22,Tables!B7:B22,Tables!C7:C22)+IF(C20&gt;0,(C20*Tables!C4),IF(C20=2,Tables!C5+Tables!C4,IF(C20&gt;=1,Tables!C4*1,0)))+IF(C21&gt;0,C21*Tables!C5,0)</f>
        <v>0</v>
      </c>
    </row>
    <row r="61" spans="1:27" x14ac:dyDescent="0.25">
      <c r="A61" s="115" t="s">
        <v>115</v>
      </c>
      <c r="E61" s="133" t="s">
        <v>114</v>
      </c>
      <c r="F61" s="133"/>
      <c r="G61" s="105" t="s">
        <v>102</v>
      </c>
      <c r="H61" s="105" t="s">
        <v>96</v>
      </c>
      <c r="I61" s="105" t="s">
        <v>104</v>
      </c>
    </row>
    <row r="62" spans="1:27" ht="14.4" x14ac:dyDescent="0.3">
      <c r="A62" s="105" t="s">
        <v>108</v>
      </c>
      <c r="C62" s="255"/>
      <c r="F62" s="116" t="s">
        <v>97</v>
      </c>
      <c r="G62" s="136">
        <f>C36</f>
        <v>0</v>
      </c>
      <c r="H62" s="136" t="e">
        <f>F36</f>
        <v>#NUM!</v>
      </c>
      <c r="I62" s="177" t="e">
        <f>E36</f>
        <v>#N/A</v>
      </c>
      <c r="J62" s="173"/>
      <c r="K62" s="173"/>
      <c r="L62" s="173"/>
      <c r="M62" s="173"/>
      <c r="N62" s="173"/>
      <c r="O62" s="173"/>
      <c r="P62" s="173"/>
    </row>
    <row r="63" spans="1:27" ht="15" customHeight="1" x14ac:dyDescent="0.25">
      <c r="A63" s="105" t="s">
        <v>109</v>
      </c>
      <c r="C63" s="255"/>
      <c r="F63" s="116" t="s">
        <v>27</v>
      </c>
      <c r="G63" s="255"/>
      <c r="H63" s="255"/>
      <c r="I63" s="188" t="e">
        <f>MAX(S66,T66)</f>
        <v>#N/A</v>
      </c>
    </row>
    <row r="64" spans="1:27" ht="14.4" thickBot="1" x14ac:dyDescent="0.3">
      <c r="A64" s="105" t="s">
        <v>110</v>
      </c>
      <c r="C64" s="282"/>
      <c r="F64" s="116" t="s">
        <v>28</v>
      </c>
      <c r="G64" s="255"/>
      <c r="H64" s="255"/>
      <c r="I64" s="188" t="e">
        <f>MAX(S67,T67)</f>
        <v>#N/A</v>
      </c>
      <c r="S64" s="164" t="s">
        <v>98</v>
      </c>
      <c r="T64" s="164" t="s">
        <v>99</v>
      </c>
    </row>
    <row r="65" spans="1:23" ht="14.4" thickBot="1" x14ac:dyDescent="0.3">
      <c r="A65" s="114" t="s">
        <v>23</v>
      </c>
      <c r="B65" s="114"/>
      <c r="C65" s="141">
        <f>SUM(C62:C64)</f>
        <v>0</v>
      </c>
      <c r="D65" s="111"/>
      <c r="F65" s="116" t="s">
        <v>11</v>
      </c>
      <c r="G65" s="174" t="s">
        <v>103</v>
      </c>
      <c r="H65" s="255"/>
      <c r="I65" s="178">
        <f>AUTO_PersonalLoans</f>
        <v>0</v>
      </c>
      <c r="R65" s="167"/>
      <c r="S65" s="167"/>
      <c r="T65" s="167"/>
      <c r="U65" s="167"/>
      <c r="V65" s="167"/>
    </row>
    <row r="66" spans="1:23" ht="14.4" thickBot="1" x14ac:dyDescent="0.3">
      <c r="A66" s="114" t="s">
        <v>24</v>
      </c>
      <c r="C66" s="142">
        <f>C65*52</f>
        <v>0</v>
      </c>
      <c r="F66" s="117" t="s">
        <v>64</v>
      </c>
      <c r="G66" s="255"/>
      <c r="H66" s="127">
        <f>G66*Tables!C25</f>
        <v>0</v>
      </c>
      <c r="I66" s="178">
        <f>H66</f>
        <v>0</v>
      </c>
      <c r="R66" s="164" t="s">
        <v>100</v>
      </c>
      <c r="S66" s="171" t="e">
        <f>-PMT((C27/12),C24*12,G63,0)</f>
        <v>#N/A</v>
      </c>
      <c r="T66" s="171">
        <f>AUTO_OtherMortgages</f>
        <v>0</v>
      </c>
      <c r="W66" s="167"/>
    </row>
    <row r="67" spans="1:23" ht="29.25" customHeight="1" thickBot="1" x14ac:dyDescent="0.3">
      <c r="A67" s="143" t="s">
        <v>56</v>
      </c>
      <c r="C67" s="142">
        <f>C66*0.8</f>
        <v>0</v>
      </c>
      <c r="D67" s="315" t="s">
        <v>177</v>
      </c>
      <c r="E67" s="316"/>
      <c r="F67" s="317"/>
      <c r="G67" s="174" t="s">
        <v>103</v>
      </c>
      <c r="H67" s="255"/>
      <c r="I67" s="178">
        <f>AUTO_OtherExpenses</f>
        <v>0</v>
      </c>
      <c r="R67" s="164" t="s">
        <v>101</v>
      </c>
      <c r="S67" s="171" t="e">
        <f>-PMT((C27/12),C24*12,G64,0)</f>
        <v>#N/A</v>
      </c>
      <c r="T67" s="171">
        <f>AUTO_OtherInvestmentMortgages</f>
        <v>0</v>
      </c>
    </row>
    <row r="68" spans="1:23" ht="14.4" thickBot="1" x14ac:dyDescent="0.3">
      <c r="A68" s="309" t="s">
        <v>92</v>
      </c>
      <c r="F68" s="116"/>
    </row>
    <row r="69" spans="1:23" ht="14.4" thickBot="1" x14ac:dyDescent="0.3">
      <c r="A69" s="310"/>
      <c r="B69" s="114"/>
      <c r="C69" s="141">
        <f>SUM(C50+'Supplementary Income'!I20+F53)</f>
        <v>0</v>
      </c>
      <c r="G69" s="117" t="s">
        <v>57</v>
      </c>
      <c r="H69" s="116"/>
      <c r="I69" s="144">
        <f>C66*0.8</f>
        <v>0</v>
      </c>
    </row>
    <row r="70" spans="1:23" ht="14.4" thickBot="1" x14ac:dyDescent="0.3">
      <c r="A70" s="311"/>
      <c r="G70" s="129" t="s">
        <v>13</v>
      </c>
      <c r="H70" s="129"/>
      <c r="I70" s="141" t="e">
        <f>C86-I69</f>
        <v>#N/A</v>
      </c>
    </row>
    <row r="71" spans="1:23" ht="14.4" thickBot="1" x14ac:dyDescent="0.3">
      <c r="A71" s="114" t="s">
        <v>6</v>
      </c>
      <c r="B71" s="114"/>
      <c r="C71" s="130" t="e">
        <f>SUM(I70/C69)</f>
        <v>#N/A</v>
      </c>
      <c r="D71" s="125"/>
    </row>
    <row r="72" spans="1:23" ht="14.4" hidden="1" thickBot="1" x14ac:dyDescent="0.3">
      <c r="A72" s="112"/>
      <c r="B72" s="112"/>
      <c r="C72" s="112"/>
      <c r="D72" s="112"/>
      <c r="E72" s="112"/>
      <c r="F72" s="112"/>
      <c r="G72" s="112"/>
      <c r="H72" s="112"/>
      <c r="I72" s="112"/>
    </row>
    <row r="73" spans="1:23" hidden="1" x14ac:dyDescent="0.25">
      <c r="J73" s="165"/>
      <c r="K73" s="165"/>
    </row>
    <row r="74" spans="1:23" hidden="1" x14ac:dyDescent="0.25">
      <c r="A74" s="121" t="s">
        <v>20</v>
      </c>
      <c r="B74" s="107"/>
      <c r="J74" s="165"/>
      <c r="K74" s="165"/>
    </row>
    <row r="75" spans="1:23" hidden="1" x14ac:dyDescent="0.25">
      <c r="A75" s="114"/>
      <c r="B75" s="114"/>
      <c r="C75" s="111" t="s">
        <v>111</v>
      </c>
      <c r="H75" s="314"/>
      <c r="J75" s="165"/>
      <c r="K75" s="165"/>
    </row>
    <row r="76" spans="1:23" x14ac:dyDescent="0.25">
      <c r="A76" s="105" t="s">
        <v>42</v>
      </c>
      <c r="C76" s="127">
        <f>(C50+E50)-'Supplementary Income'!G20</f>
        <v>0</v>
      </c>
      <c r="H76" s="314"/>
      <c r="J76" s="165"/>
      <c r="K76" s="165"/>
    </row>
    <row r="77" spans="1:23" x14ac:dyDescent="0.25">
      <c r="A77" s="105" t="s">
        <v>61</v>
      </c>
      <c r="C77" s="127">
        <f>C67</f>
        <v>0</v>
      </c>
      <c r="H77" s="314"/>
      <c r="J77" s="165"/>
      <c r="K77" s="165"/>
    </row>
    <row r="78" spans="1:23" x14ac:dyDescent="0.25">
      <c r="A78" s="105" t="s">
        <v>7</v>
      </c>
      <c r="C78" s="136" t="e">
        <f>(IPMT(C25,1,C24,C38))+MAX(-I64*12,(IPMT(C25,1,C24,G64)))</f>
        <v>#NUM!</v>
      </c>
      <c r="H78" s="314"/>
      <c r="J78" s="165"/>
      <c r="K78" s="165"/>
    </row>
    <row r="79" spans="1:23" x14ac:dyDescent="0.25">
      <c r="A79" s="105" t="s">
        <v>39</v>
      </c>
      <c r="C79" s="136">
        <f>C76+C77</f>
        <v>0</v>
      </c>
      <c r="H79" s="314"/>
      <c r="J79" s="165"/>
      <c r="K79" s="165"/>
    </row>
    <row r="80" spans="1:23" ht="14.4" thickBot="1" x14ac:dyDescent="0.3">
      <c r="A80" s="105" t="s">
        <v>40</v>
      </c>
      <c r="C80" s="128">
        <f>I50</f>
        <v>0</v>
      </c>
      <c r="J80" s="172"/>
      <c r="K80" s="165"/>
    </row>
    <row r="81" spans="1:15" ht="14.4" thickBot="1" x14ac:dyDescent="0.3">
      <c r="A81" s="114" t="s">
        <v>8</v>
      </c>
      <c r="B81" s="114"/>
      <c r="C81" s="141">
        <f>C76+C77-C80</f>
        <v>0</v>
      </c>
      <c r="F81" s="110"/>
      <c r="H81" s="146"/>
      <c r="I81" s="147"/>
      <c r="J81" s="165"/>
      <c r="K81" s="165"/>
    </row>
    <row r="82" spans="1:15" ht="15" thickBot="1" x14ac:dyDescent="0.35">
      <c r="A82" s="140" t="s">
        <v>44</v>
      </c>
      <c r="B82" s="114"/>
      <c r="C82" s="148">
        <f>F53</f>
        <v>0</v>
      </c>
      <c r="H82" s="145"/>
      <c r="I82" s="149">
        <f>(C85/1.25)-SUM(H63:H67)</f>
        <v>0</v>
      </c>
      <c r="J82" s="165"/>
      <c r="K82" s="165"/>
    </row>
    <row r="83" spans="1:15" ht="14.25" customHeight="1" x14ac:dyDescent="0.25">
      <c r="A83" s="105" t="s">
        <v>112</v>
      </c>
      <c r="C83" s="148">
        <f>'Supplementary Income'!G20</f>
        <v>0</v>
      </c>
      <c r="G83" s="284" t="s">
        <v>93</v>
      </c>
      <c r="H83" s="285"/>
      <c r="I83" s="286"/>
      <c r="K83" s="165"/>
    </row>
    <row r="84" spans="1:15" ht="15" customHeight="1" thickBot="1" x14ac:dyDescent="0.3">
      <c r="A84" s="105" t="s">
        <v>9</v>
      </c>
      <c r="C84" s="150">
        <f>IF(CALC&gt;AUTO_TotalDeclaredLivingExpenses*12,CALC,AUTO_TotalDeclaredLivingExpenses*12)+AUTO_TotalAdditionalLivingExpenses*12</f>
        <v>0</v>
      </c>
      <c r="G84" s="287"/>
      <c r="H84" s="288"/>
      <c r="I84" s="289"/>
      <c r="J84" s="165"/>
      <c r="O84" s="167"/>
    </row>
    <row r="85" spans="1:15" ht="15" customHeight="1" thickBot="1" x14ac:dyDescent="0.3">
      <c r="A85" s="105" t="s">
        <v>29</v>
      </c>
      <c r="C85" s="141">
        <f>SUM(C81:C83)-C84</f>
        <v>0</v>
      </c>
      <c r="G85" s="287"/>
      <c r="H85" s="288"/>
      <c r="I85" s="289"/>
      <c r="J85" s="165"/>
      <c r="K85" s="165"/>
    </row>
    <row r="86" spans="1:15" ht="15" customHeight="1" thickBot="1" x14ac:dyDescent="0.3">
      <c r="A86" s="105" t="s">
        <v>12</v>
      </c>
      <c r="C86" s="141" t="e">
        <f>(I62+I63+I64+AUTO_PersonalLoans+H66+AUTO_OtherExpenses)*12</f>
        <v>#N/A</v>
      </c>
      <c r="G86" s="287"/>
      <c r="H86" s="288"/>
      <c r="I86" s="289"/>
      <c r="J86" s="165"/>
      <c r="K86" s="165"/>
    </row>
    <row r="87" spans="1:15" ht="14.25" customHeight="1" x14ac:dyDescent="0.25">
      <c r="A87" s="125" t="s">
        <v>55</v>
      </c>
      <c r="C87" s="127" t="e">
        <f>C85-C86</f>
        <v>#N/A</v>
      </c>
      <c r="G87" s="287"/>
      <c r="H87" s="288"/>
      <c r="I87" s="289"/>
      <c r="J87" s="165"/>
      <c r="K87" s="165"/>
    </row>
    <row r="88" spans="1:15" ht="14.25" customHeight="1" thickBot="1" x14ac:dyDescent="0.3">
      <c r="G88" s="290"/>
      <c r="H88" s="291"/>
      <c r="I88" s="292"/>
      <c r="J88" s="165"/>
      <c r="K88" s="165"/>
    </row>
    <row r="89" spans="1:15" ht="15" customHeight="1" thickBot="1" x14ac:dyDescent="0.3">
      <c r="A89" s="105" t="s">
        <v>10</v>
      </c>
      <c r="B89" s="123">
        <f>IF(AND(B26=1,C36&gt;=1500000),1,2)</f>
        <v>2</v>
      </c>
      <c r="C89" s="151" t="e">
        <f>ROUND((C85/C86),2)</f>
        <v>#N/A</v>
      </c>
      <c r="D89" s="238" t="str">
        <f>IF(AND(C36&gt;=1500000,C26="Prime"),"Note : Minimum NSR for Prime exposure over $1,500,000 is 1.25","Minimum NSR is 1.00 and must have a minimum cash surplus of $200 p.a.")</f>
        <v>Minimum NSR is 1.00 and must have a minimum cash surplus of $200 p.a.</v>
      </c>
      <c r="G89" s="234"/>
      <c r="H89" s="235"/>
      <c r="I89" s="235"/>
      <c r="J89" s="165"/>
      <c r="K89" s="165"/>
    </row>
    <row r="90" spans="1:15" ht="15" customHeight="1" x14ac:dyDescent="0.25">
      <c r="A90" s="114"/>
      <c r="B90" s="114"/>
      <c r="C90" s="125"/>
      <c r="D90" s="236"/>
      <c r="G90" s="233"/>
      <c r="H90" s="233"/>
      <c r="I90" s="233"/>
      <c r="J90" s="165"/>
      <c r="K90" s="165"/>
    </row>
    <row r="91" spans="1:15" ht="39" customHeight="1" x14ac:dyDescent="0.25">
      <c r="A91" s="114" t="s">
        <v>175</v>
      </c>
      <c r="B91" s="114"/>
      <c r="C91" s="283" t="e">
        <f>IF(SUM(AA46:AA49)&lt;8,"NO RESULT",IF(AND(B89=1,C89&gt;=1.25),"PASS",IF(AND(B89=2,AND(C89&gt;=1,C87&gt;=200)),"PASS","FAIL")))</f>
        <v>#N/A</v>
      </c>
      <c r="D91" s="237" t="str">
        <f>IF(OR(AA46=1,AA47=1,AA48=1,AA49=1),"NO RESULT: Please input a value in 'Entity' next to all income (field B46 to B49)","")</f>
        <v/>
      </c>
      <c r="G91" s="233"/>
      <c r="H91" s="233"/>
      <c r="I91" s="233"/>
      <c r="J91" s="165"/>
      <c r="K91" s="165"/>
    </row>
    <row r="92" spans="1:15" ht="15" customHeight="1" thickBot="1" x14ac:dyDescent="0.3">
      <c r="A92" s="112"/>
      <c r="B92" s="112"/>
      <c r="C92" s="112"/>
      <c r="D92" s="112"/>
      <c r="E92" s="112"/>
      <c r="F92" s="112"/>
      <c r="G92" s="112"/>
      <c r="H92" s="112"/>
      <c r="I92" s="112"/>
      <c r="J92" s="165"/>
      <c r="K92" s="165"/>
    </row>
    <row r="93" spans="1:15" x14ac:dyDescent="0.25">
      <c r="J93" s="165"/>
      <c r="K93" s="165"/>
    </row>
    <row r="94" spans="1:15" ht="18" customHeight="1" x14ac:dyDescent="0.25">
      <c r="A94" s="152" t="s">
        <v>54</v>
      </c>
      <c r="B94" s="153"/>
      <c r="C94" s="120"/>
      <c r="D94" s="120"/>
      <c r="E94" s="120"/>
      <c r="F94" s="120"/>
      <c r="G94" s="120"/>
      <c r="H94" s="120"/>
      <c r="I94" s="120"/>
      <c r="J94" s="165"/>
      <c r="K94" s="165"/>
    </row>
    <row r="95" spans="1:15" x14ac:dyDescent="0.25">
      <c r="A95" s="295"/>
      <c r="B95" s="296"/>
      <c r="C95" s="296"/>
      <c r="D95" s="296"/>
      <c r="E95" s="296"/>
      <c r="F95" s="296"/>
      <c r="G95" s="296"/>
      <c r="H95" s="296"/>
      <c r="I95" s="297"/>
      <c r="J95" s="165"/>
      <c r="K95" s="165"/>
    </row>
    <row r="96" spans="1:15" x14ac:dyDescent="0.25">
      <c r="A96" s="298"/>
      <c r="B96" s="299"/>
      <c r="C96" s="299"/>
      <c r="D96" s="299"/>
      <c r="E96" s="299"/>
      <c r="F96" s="299"/>
      <c r="G96" s="299"/>
      <c r="H96" s="299"/>
      <c r="I96" s="300"/>
      <c r="J96" s="165"/>
      <c r="K96" s="165"/>
    </row>
    <row r="97" spans="1:11" x14ac:dyDescent="0.25">
      <c r="A97" s="298"/>
      <c r="B97" s="299"/>
      <c r="C97" s="299"/>
      <c r="D97" s="299"/>
      <c r="E97" s="299"/>
      <c r="F97" s="299"/>
      <c r="G97" s="299"/>
      <c r="H97" s="299"/>
      <c r="I97" s="300"/>
      <c r="J97" s="165"/>
      <c r="K97" s="165"/>
    </row>
    <row r="98" spans="1:11" x14ac:dyDescent="0.25">
      <c r="A98" s="298"/>
      <c r="B98" s="299"/>
      <c r="C98" s="299"/>
      <c r="D98" s="299"/>
      <c r="E98" s="299"/>
      <c r="F98" s="299"/>
      <c r="G98" s="299"/>
      <c r="H98" s="299"/>
      <c r="I98" s="300"/>
      <c r="J98" s="165"/>
      <c r="K98" s="165"/>
    </row>
    <row r="99" spans="1:11" x14ac:dyDescent="0.25">
      <c r="A99" s="298"/>
      <c r="B99" s="299"/>
      <c r="C99" s="299"/>
      <c r="D99" s="299"/>
      <c r="E99" s="299"/>
      <c r="F99" s="299"/>
      <c r="G99" s="299"/>
      <c r="H99" s="299"/>
      <c r="I99" s="300"/>
      <c r="J99" s="165"/>
      <c r="K99" s="165"/>
    </row>
    <row r="100" spans="1:11" x14ac:dyDescent="0.25">
      <c r="A100" s="298"/>
      <c r="B100" s="299"/>
      <c r="C100" s="299"/>
      <c r="D100" s="299"/>
      <c r="E100" s="299"/>
      <c r="F100" s="299"/>
      <c r="G100" s="299"/>
      <c r="H100" s="299"/>
      <c r="I100" s="300"/>
      <c r="J100" s="165"/>
      <c r="K100" s="165"/>
    </row>
    <row r="101" spans="1:11" x14ac:dyDescent="0.25">
      <c r="A101" s="301"/>
      <c r="B101" s="302"/>
      <c r="C101" s="302"/>
      <c r="D101" s="302"/>
      <c r="E101" s="302"/>
      <c r="F101" s="302"/>
      <c r="G101" s="302"/>
      <c r="H101" s="302"/>
      <c r="I101" s="303"/>
    </row>
    <row r="104" spans="1:11" x14ac:dyDescent="0.25">
      <c r="A104" s="154"/>
      <c r="C104" s="105" t="s">
        <v>87</v>
      </c>
    </row>
    <row r="105" spans="1:11" x14ac:dyDescent="0.25">
      <c r="A105" s="105" t="s">
        <v>30</v>
      </c>
    </row>
    <row r="121" spans="9:9" x14ac:dyDescent="0.25">
      <c r="I121" s="155">
        <v>1</v>
      </c>
    </row>
  </sheetData>
  <sheetProtection password="8CBB" sheet="1" selectLockedCells="1"/>
  <mergeCells count="14">
    <mergeCell ref="A1:I1"/>
    <mergeCell ref="G29:I29"/>
    <mergeCell ref="G83:I88"/>
    <mergeCell ref="D38:I38"/>
    <mergeCell ref="A95:I101"/>
    <mergeCell ref="C8:D8"/>
    <mergeCell ref="A13:E13"/>
    <mergeCell ref="A59:I59"/>
    <mergeCell ref="A68:A70"/>
    <mergeCell ref="G9:H9"/>
    <mergeCell ref="H75:H79"/>
    <mergeCell ref="G23:H23"/>
    <mergeCell ref="D67:F67"/>
    <mergeCell ref="G13:I13"/>
  </mergeCells>
  <phoneticPr fontId="0" type="noConversion"/>
  <conditionalFormatting sqref="C91">
    <cfRule type="cellIs" dxfId="2" priority="1" stopIfTrue="1" operator="equal">
      <formula>"Pass"</formula>
    </cfRule>
    <cfRule type="cellIs" dxfId="1" priority="2" stopIfTrue="1" operator="equal">
      <formula>"Fail"</formula>
    </cfRule>
    <cfRule type="cellIs" dxfId="0" priority="3" stopIfTrue="1" operator="greaterThan">
      <formula>$C$90</formula>
    </cfRule>
  </conditionalFormatting>
  <dataValidations disablePrompts="1" count="2">
    <dataValidation type="list" errorStyle="warning" allowBlank="1" showInputMessage="1" errorTitle="Invalid Mortgage Insurer" error="please select valid Mortgage Insurer" promptTitle="Assessment Rate" sqref="C26">
      <formula1>listMortgageInsurers</formula1>
    </dataValidation>
    <dataValidation type="whole" errorStyle="warning" operator="lessThanOrEqual" showInputMessage="1" showErrorMessage="1" error="Must be investment" promptTitle="I.O Term" prompt="Owner Occupied max 5 years_x000a_Investment max 10 years_x000a_" sqref="D30:D35">
      <formula1>10</formula1>
    </dataValidation>
  </dataValidations>
  <pageMargins left="0.39370078740157483" right="0" top="0.15748031496062992" bottom="0.15748031496062992" header="0.31496062992125984" footer="0.31496062992125984"/>
  <pageSetup paperSize="9" scale="50" orientation="portrait" r:id="rId1"/>
  <headerFooter alignWithMargins="0">
    <oddFooter>&amp;C&amp;F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Clear">
              <controlPr defaultSize="0" print="0" autoFill="0" autoPict="0" macro="[0]!btnClear_Click">
                <anchor moveWithCells="1">
                  <from>
                    <xdr:col>4</xdr:col>
                    <xdr:colOff>1021080</xdr:colOff>
                    <xdr:row>82</xdr:row>
                    <xdr:rowOff>22860</xdr:rowOff>
                  </from>
                  <to>
                    <xdr:col>5</xdr:col>
                    <xdr:colOff>1203960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5" name="Button 504">
              <controlPr defaultSize="0" print="0" autoFill="0" autoPict="0" macro="[0]!Click_to_supplementary_income">
                <anchor moveWithCells="1" sizeWithCells="1">
                  <from>
                    <xdr:col>3</xdr:col>
                    <xdr:colOff>7620</xdr:colOff>
                    <xdr:row>45</xdr:row>
                    <xdr:rowOff>22860</xdr:rowOff>
                  </from>
                  <to>
                    <xdr:col>3</xdr:col>
                    <xdr:colOff>1249680</xdr:colOff>
                    <xdr:row>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" r:id="rId6" name="Button 636">
              <controlPr defaultSize="0" print="0" autoFill="0" autoPict="0" macro="[0]!print_calc_and_supp">
                <anchor moveWithCells="1" sizeWithCells="1">
                  <from>
                    <xdr:col>3</xdr:col>
                    <xdr:colOff>45720</xdr:colOff>
                    <xdr:row>82</xdr:row>
                    <xdr:rowOff>22860</xdr:rowOff>
                  </from>
                  <to>
                    <xdr:col>4</xdr:col>
                    <xdr:colOff>876300</xdr:colOff>
                    <xdr:row>87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7:IV68"/>
  <sheetViews>
    <sheetView showGridLines="0" zoomScale="85" zoomScaleNormal="85" workbookViewId="0">
      <selection activeCell="F17" sqref="F17"/>
    </sheetView>
  </sheetViews>
  <sheetFormatPr defaultRowHeight="13.2" x14ac:dyDescent="0.25"/>
  <cols>
    <col min="1" max="1" width="23.5546875" customWidth="1"/>
    <col min="2" max="2" width="17.88671875" customWidth="1"/>
    <col min="3" max="7" width="18.109375" customWidth="1"/>
    <col min="8" max="8" width="18.44140625" customWidth="1"/>
    <col min="9" max="9" width="18.5546875" customWidth="1"/>
    <col min="10" max="10" width="9.109375" style="230" hidden="1" customWidth="1"/>
    <col min="11" max="11" width="11.5546875" style="230" hidden="1" customWidth="1"/>
    <col min="12" max="13" width="0" style="230" hidden="1" customWidth="1"/>
    <col min="14" max="14" width="0" hidden="1" customWidth="1"/>
  </cols>
  <sheetData>
    <row r="7" spans="1:12" ht="23.25" customHeight="1" x14ac:dyDescent="0.4">
      <c r="A7" s="322" t="s">
        <v>166</v>
      </c>
      <c r="B7" s="322"/>
      <c r="C7" s="322"/>
      <c r="D7" s="322"/>
      <c r="E7" s="322"/>
      <c r="F7" s="322"/>
      <c r="G7" s="322"/>
      <c r="H7" s="198"/>
      <c r="I7" s="198"/>
      <c r="J7" s="229"/>
      <c r="K7" s="229"/>
      <c r="L7" s="229"/>
    </row>
    <row r="9" spans="1:12" ht="14.25" customHeight="1" x14ac:dyDescent="0.25">
      <c r="A9" s="323" t="s">
        <v>146</v>
      </c>
      <c r="B9" s="323"/>
      <c r="C9" s="323"/>
      <c r="D9" s="323"/>
      <c r="E9" s="323"/>
      <c r="F9" s="323"/>
      <c r="G9" s="323"/>
      <c r="H9" s="211"/>
      <c r="I9" s="211"/>
    </row>
    <row r="11" spans="1:12" ht="13.8" x14ac:dyDescent="0.25">
      <c r="A11" s="121" t="s">
        <v>116</v>
      </c>
      <c r="B11" s="107"/>
      <c r="C11" s="107"/>
      <c r="D11" s="105"/>
      <c r="E11" s="105"/>
      <c r="F11" s="105"/>
      <c r="G11" s="105"/>
      <c r="H11" s="105"/>
      <c r="I11" s="105"/>
      <c r="J11" s="214"/>
      <c r="K11" s="214"/>
      <c r="L11" s="214"/>
    </row>
    <row r="12" spans="1:12" ht="13.8" x14ac:dyDescent="0.25">
      <c r="A12" s="114"/>
      <c r="B12" s="114"/>
      <c r="C12" s="114"/>
      <c r="D12" s="105"/>
      <c r="E12" s="105"/>
      <c r="F12" s="105"/>
      <c r="G12" s="105"/>
      <c r="H12" s="105"/>
      <c r="I12" s="105"/>
      <c r="J12" s="214"/>
      <c r="K12" s="214"/>
      <c r="L12" s="214"/>
    </row>
    <row r="13" spans="1:12" ht="13.8" x14ac:dyDescent="0.25">
      <c r="A13" s="114" t="s">
        <v>147</v>
      </c>
      <c r="B13" s="114"/>
      <c r="C13" s="114"/>
      <c r="D13" s="105"/>
      <c r="E13" s="105"/>
      <c r="F13" s="105"/>
      <c r="G13" s="105"/>
    </row>
    <row r="14" spans="1:12" ht="13.8" x14ac:dyDescent="0.25">
      <c r="L14" s="231"/>
    </row>
    <row r="15" spans="1:12" ht="41.4" x14ac:dyDescent="0.25">
      <c r="A15" s="133"/>
      <c r="B15" s="134" t="s">
        <v>148</v>
      </c>
      <c r="C15" s="135" t="s">
        <v>149</v>
      </c>
      <c r="D15" s="135" t="s">
        <v>150</v>
      </c>
      <c r="E15" s="135" t="s">
        <v>155</v>
      </c>
      <c r="F15" s="135" t="s">
        <v>156</v>
      </c>
      <c r="G15" s="134" t="s">
        <v>107</v>
      </c>
      <c r="H15" s="134" t="s">
        <v>167</v>
      </c>
      <c r="I15" s="134" t="s">
        <v>154</v>
      </c>
      <c r="J15" s="231" t="s">
        <v>163</v>
      </c>
      <c r="K15" s="231" t="s">
        <v>164</v>
      </c>
    </row>
    <row r="16" spans="1:12" ht="13.8" x14ac:dyDescent="0.25">
      <c r="A16" s="156" t="s">
        <v>45</v>
      </c>
      <c r="B16" s="161"/>
      <c r="C16" s="206">
        <f>AUTO_GrossIncome</f>
        <v>0</v>
      </c>
      <c r="D16" s="163"/>
      <c r="E16" s="163"/>
      <c r="F16" s="217"/>
      <c r="G16" s="160"/>
      <c r="H16" s="160"/>
      <c r="I16" s="206">
        <f>SUM(D16*J16,E16*K16,F16*K16,G16,H16)</f>
        <v>0</v>
      </c>
      <c r="J16" s="232">
        <f>IF(AUTO_MortgageInsurer="RESIMAC - Specialist",1,IF(B16="Y",1,0.8))</f>
        <v>0.8</v>
      </c>
      <c r="K16" s="232">
        <f>IF(AUTO_MortgageInsurer="RESIMAC - Specialist",1,0.8)</f>
        <v>0.8</v>
      </c>
    </row>
    <row r="17" spans="1:256" ht="13.8" x14ac:dyDescent="0.25">
      <c r="A17" s="105" t="s">
        <v>46</v>
      </c>
      <c r="B17" s="161"/>
      <c r="C17" s="206">
        <f>AUTO_GrossIncome2</f>
        <v>0</v>
      </c>
      <c r="D17" s="163"/>
      <c r="E17" s="163"/>
      <c r="F17" s="217"/>
      <c r="G17" s="160"/>
      <c r="H17" s="160"/>
      <c r="I17" s="206">
        <f>SUM(D17*J17,E17*K17,F17*K17,G17,H17)</f>
        <v>0</v>
      </c>
      <c r="J17" s="232">
        <f>IF(AUTO_MortgageInsurer="RESIMAC - Specialist",1,IF(B17="Y",1,0.8))</f>
        <v>0.8</v>
      </c>
      <c r="K17" s="232">
        <f>IF(AUTO_MortgageInsurer="RESIMAC - Specialist",1,0.8)</f>
        <v>0.8</v>
      </c>
    </row>
    <row r="18" spans="1:256" ht="13.8" x14ac:dyDescent="0.25">
      <c r="A18" s="105" t="s">
        <v>47</v>
      </c>
      <c r="B18" s="161"/>
      <c r="C18" s="206">
        <f>AUTO_GrossIncome3</f>
        <v>0</v>
      </c>
      <c r="D18" s="163"/>
      <c r="E18" s="163"/>
      <c r="F18" s="217"/>
      <c r="G18" s="160"/>
      <c r="H18" s="160"/>
      <c r="I18" s="206">
        <f>SUM(D18*J18,E18*K18,F18*K18,G18,H18)</f>
        <v>0</v>
      </c>
      <c r="J18" s="232">
        <f>IF(AUTO_MortgageInsurer="RESIMAC - Specialist",1,IF(B18="Y",1,0.8))</f>
        <v>0.8</v>
      </c>
      <c r="K18" s="232">
        <f>IF(AUTO_MortgageInsurer="RESIMAC - Specialist",1,0.8)</f>
        <v>0.8</v>
      </c>
    </row>
    <row r="19" spans="1:256" ht="13.8" x14ac:dyDescent="0.25">
      <c r="A19" s="105" t="s">
        <v>48</v>
      </c>
      <c r="B19" s="161"/>
      <c r="C19" s="206">
        <f>AUTO_GrossIncome4</f>
        <v>0</v>
      </c>
      <c r="D19" s="163"/>
      <c r="E19" s="163"/>
      <c r="F19" s="218"/>
      <c r="G19" s="160"/>
      <c r="H19" s="160"/>
      <c r="I19" s="206">
        <f>SUM(D19*J19,E19*K19,F19*K19,G19,H19)</f>
        <v>0</v>
      </c>
      <c r="J19" s="232">
        <f>IF(AUTO_MortgageInsurer="RESIMAC - Specialist",1,IF(B19="Y",1,0.8))</f>
        <v>0.8</v>
      </c>
      <c r="K19" s="232">
        <f>IF(AUTO_MortgageInsurer="RESIMAC - Specialist",1,0.8)</f>
        <v>0.8</v>
      </c>
    </row>
    <row r="20" spans="1:256" ht="13.8" x14ac:dyDescent="0.25">
      <c r="A20" s="114" t="s">
        <v>43</v>
      </c>
      <c r="B20" s="137"/>
      <c r="C20" s="220">
        <f>Calculator!C50</f>
        <v>0</v>
      </c>
      <c r="D20" s="219">
        <f>SUM(D16:D19)</f>
        <v>0</v>
      </c>
      <c r="E20" s="219">
        <f>SUM(E16:E19)</f>
        <v>0</v>
      </c>
      <c r="F20" s="219">
        <f>SUM(F16:F19)</f>
        <v>0</v>
      </c>
      <c r="G20" s="219">
        <f>SUM(G16:G19)</f>
        <v>0</v>
      </c>
      <c r="H20" s="219"/>
      <c r="I20" s="220">
        <f>SUM(I16:I19)</f>
        <v>0</v>
      </c>
      <c r="J20" s="232"/>
      <c r="K20" s="232"/>
    </row>
    <row r="25" spans="1:256" x14ac:dyDescent="0.25">
      <c r="C25" s="227"/>
    </row>
    <row r="26" spans="1:256" x14ac:dyDescent="0.25">
      <c r="C26" s="226"/>
      <c r="D26" s="226"/>
      <c r="E26" s="226"/>
      <c r="F26" s="222"/>
      <c r="IV26" s="226"/>
    </row>
    <row r="27" spans="1:256" x14ac:dyDescent="0.25">
      <c r="E27" s="223"/>
      <c r="F27" s="224"/>
    </row>
    <row r="28" spans="1:256" x14ac:dyDescent="0.25">
      <c r="E28" s="221"/>
      <c r="F28" s="224"/>
    </row>
    <row r="29" spans="1:256" x14ac:dyDescent="0.25">
      <c r="E29" s="225"/>
      <c r="F29" s="226"/>
    </row>
    <row r="39" spans="5:6" x14ac:dyDescent="0.25">
      <c r="E39" s="226"/>
      <c r="F39" s="226"/>
    </row>
    <row r="68" spans="3:3" x14ac:dyDescent="0.25">
      <c r="C68">
        <v>0</v>
      </c>
    </row>
  </sheetData>
  <sheetProtection password="8CBB" sheet="1" selectLockedCells="1"/>
  <mergeCells count="2">
    <mergeCell ref="A7:G7"/>
    <mergeCell ref="A9:G9"/>
  </mergeCells>
  <pageMargins left="0.7" right="0.7" top="0.75" bottom="0.75" header="0.3" footer="0.3"/>
  <pageSetup paperSize="216" scale="5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lick_to_Calculator">
                <anchor moveWithCells="1" sizeWithCells="1">
                  <from>
                    <xdr:col>4</xdr:col>
                    <xdr:colOff>1143000</xdr:colOff>
                    <xdr:row>20</xdr:row>
                    <xdr:rowOff>83820</xdr:rowOff>
                  </from>
                  <to>
                    <xdr:col>7</xdr:col>
                    <xdr:colOff>198120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5" name="Button 23">
              <controlPr defaultSize="0" print="0" autoFill="0" autoPict="0" macro="[0]!print_calc_and_supp">
                <anchor moveWithCells="1" sizeWithCells="1">
                  <from>
                    <xdr:col>7</xdr:col>
                    <xdr:colOff>266700</xdr:colOff>
                    <xdr:row>20</xdr:row>
                    <xdr:rowOff>68580</xdr:rowOff>
                  </from>
                  <to>
                    <xdr:col>9</xdr:col>
                    <xdr:colOff>7620</xdr:colOff>
                    <xdr:row>26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66"/>
  <sheetViews>
    <sheetView workbookViewId="0">
      <selection activeCell="E25" sqref="E25"/>
    </sheetView>
  </sheetViews>
  <sheetFormatPr defaultRowHeight="13.2" x14ac:dyDescent="0.25"/>
  <cols>
    <col min="1" max="1" width="17.5546875" customWidth="1"/>
    <col min="2" max="2" width="13.6640625" style="4" customWidth="1"/>
    <col min="3" max="3" width="13.6640625" customWidth="1"/>
    <col min="4" max="4" width="14.6640625" customWidth="1"/>
    <col min="5" max="5" width="21.109375" bestFit="1" customWidth="1"/>
    <col min="6" max="6" width="23" bestFit="1" customWidth="1"/>
    <col min="7" max="9" width="13.6640625" customWidth="1"/>
    <col min="10" max="10" width="12.33203125" customWidth="1"/>
    <col min="11" max="11" width="20.33203125" bestFit="1" customWidth="1"/>
    <col min="12" max="13" width="16.88671875" bestFit="1" customWidth="1"/>
  </cols>
  <sheetData>
    <row r="1" spans="1:15" x14ac:dyDescent="0.25">
      <c r="A1" s="11"/>
      <c r="B1" s="14"/>
      <c r="C1" s="11"/>
      <c r="D1" s="12"/>
      <c r="E1" s="11"/>
      <c r="F1" s="11"/>
      <c r="G1" s="11"/>
      <c r="H1" s="11"/>
      <c r="I1" s="11"/>
      <c r="J1" s="11"/>
      <c r="K1" s="11"/>
      <c r="L1" s="41"/>
      <c r="M1" s="41"/>
      <c r="N1" s="41"/>
      <c r="O1" s="41"/>
    </row>
    <row r="2" spans="1:15" ht="13.8" x14ac:dyDescent="0.25">
      <c r="A2" s="29" t="s">
        <v>73</v>
      </c>
      <c r="B2" s="14"/>
      <c r="C2" s="73" t="s">
        <v>74</v>
      </c>
      <c r="E2" s="74" t="s">
        <v>170</v>
      </c>
      <c r="F2" s="192" t="s">
        <v>137</v>
      </c>
      <c r="G2" s="193"/>
      <c r="H2" s="192" t="s">
        <v>134</v>
      </c>
      <c r="I2" s="11"/>
      <c r="J2" s="23"/>
      <c r="K2" s="11"/>
      <c r="L2" s="41"/>
      <c r="M2" s="192" t="s">
        <v>165</v>
      </c>
      <c r="N2" s="41"/>
      <c r="O2" s="41"/>
    </row>
    <row r="3" spans="1:15" x14ac:dyDescent="0.25">
      <c r="A3" s="13"/>
      <c r="B3" s="14"/>
      <c r="C3" s="27"/>
      <c r="D3" s="12"/>
      <c r="E3" s="16"/>
      <c r="F3" s="193" t="s">
        <v>132</v>
      </c>
      <c r="G3" s="193"/>
      <c r="H3" s="193" t="s">
        <v>135</v>
      </c>
      <c r="I3" s="11"/>
      <c r="J3" s="24"/>
      <c r="K3" s="24"/>
      <c r="L3" s="41"/>
      <c r="M3" s="207" t="s">
        <v>161</v>
      </c>
      <c r="N3" s="41"/>
      <c r="O3" s="41"/>
    </row>
    <row r="4" spans="1:15" x14ac:dyDescent="0.25">
      <c r="A4" s="18" t="s">
        <v>59</v>
      </c>
      <c r="B4" s="31"/>
      <c r="C4" s="209">
        <v>20037.16</v>
      </c>
      <c r="D4" s="17"/>
      <c r="E4" s="25"/>
      <c r="F4" s="193" t="s">
        <v>133</v>
      </c>
      <c r="G4" s="193"/>
      <c r="H4" s="193" t="s">
        <v>136</v>
      </c>
      <c r="I4" s="26"/>
      <c r="J4" s="26"/>
      <c r="K4" s="26"/>
      <c r="L4" s="41"/>
      <c r="M4" s="207" t="s">
        <v>162</v>
      </c>
      <c r="N4" s="41"/>
      <c r="O4" s="41"/>
    </row>
    <row r="5" spans="1:15" x14ac:dyDescent="0.25">
      <c r="A5" s="18" t="s">
        <v>60</v>
      </c>
      <c r="B5" s="31"/>
      <c r="C5" s="209">
        <v>29129.67</v>
      </c>
      <c r="D5" s="17"/>
      <c r="E5" s="27"/>
      <c r="F5" s="15"/>
      <c r="G5" s="16"/>
      <c r="H5" s="16"/>
      <c r="I5" s="26"/>
      <c r="J5" s="26"/>
      <c r="K5" s="26"/>
      <c r="L5" s="41"/>
      <c r="M5" s="41"/>
      <c r="N5" s="41"/>
      <c r="O5" s="41"/>
    </row>
    <row r="6" spans="1:15" ht="13.8" x14ac:dyDescent="0.3">
      <c r="A6" s="18"/>
      <c r="B6" s="31"/>
      <c r="C6" s="209"/>
      <c r="D6" s="19"/>
      <c r="E6" s="27"/>
      <c r="F6" s="15"/>
      <c r="G6" s="16"/>
      <c r="H6" s="16"/>
      <c r="I6" s="14"/>
      <c r="J6" s="26"/>
      <c r="K6" s="26"/>
      <c r="L6" s="41"/>
      <c r="M6" s="41"/>
      <c r="N6" s="41"/>
      <c r="O6" s="41"/>
    </row>
    <row r="7" spans="1:15" x14ac:dyDescent="0.25">
      <c r="A7" s="18" t="s">
        <v>31</v>
      </c>
      <c r="B7" s="31">
        <v>0</v>
      </c>
      <c r="C7" s="210">
        <v>0</v>
      </c>
      <c r="D7" s="20"/>
      <c r="E7" s="27"/>
      <c r="F7" s="15"/>
      <c r="G7" s="5"/>
      <c r="H7" s="5"/>
      <c r="I7" s="26"/>
      <c r="J7" s="11"/>
      <c r="K7" s="24"/>
      <c r="L7" s="41"/>
      <c r="M7" s="41"/>
      <c r="N7" s="41"/>
      <c r="O7" s="41"/>
    </row>
    <row r="8" spans="1:15" x14ac:dyDescent="0.25">
      <c r="A8" s="18"/>
      <c r="B8" s="31">
        <v>1</v>
      </c>
      <c r="C8" s="209">
        <v>7080.22</v>
      </c>
      <c r="D8" s="20"/>
      <c r="E8" s="27"/>
      <c r="F8" s="15"/>
      <c r="G8" s="16"/>
      <c r="H8" s="16"/>
      <c r="I8" s="20"/>
      <c r="J8" s="28"/>
      <c r="K8" s="24" t="s">
        <v>157</v>
      </c>
      <c r="L8" s="212" t="s">
        <v>158</v>
      </c>
      <c r="M8" s="212" t="s">
        <v>159</v>
      </c>
      <c r="N8" s="212" t="s">
        <v>160</v>
      </c>
      <c r="O8" s="41"/>
    </row>
    <row r="9" spans="1:15" x14ac:dyDescent="0.25">
      <c r="A9" s="11"/>
      <c r="B9" s="32">
        <v>2</v>
      </c>
      <c r="C9" s="209">
        <f>$C$8*B9</f>
        <v>14160.44</v>
      </c>
      <c r="D9" s="21"/>
      <c r="E9" s="11"/>
      <c r="F9" s="14"/>
      <c r="G9" s="16"/>
      <c r="H9" s="16"/>
      <c r="I9" s="20"/>
      <c r="J9" s="28"/>
      <c r="K9" s="207" t="s">
        <v>151</v>
      </c>
      <c r="L9" s="207" t="s">
        <v>161</v>
      </c>
      <c r="M9" s="207">
        <v>1</v>
      </c>
      <c r="N9" s="207">
        <v>0.8</v>
      </c>
      <c r="O9" s="41"/>
    </row>
    <row r="10" spans="1:15" x14ac:dyDescent="0.25">
      <c r="A10" s="11"/>
      <c r="B10" s="32">
        <v>3</v>
      </c>
      <c r="C10" s="209">
        <f t="shared" ref="C10:C22" si="0">$C$8*B10</f>
        <v>21240.66</v>
      </c>
      <c r="D10" s="14"/>
      <c r="E10" s="11"/>
      <c r="F10" s="14"/>
      <c r="G10" s="16"/>
      <c r="H10" s="16"/>
      <c r="I10" s="20"/>
      <c r="J10" s="28"/>
      <c r="K10" s="207" t="s">
        <v>151</v>
      </c>
      <c r="L10" s="213" t="s">
        <v>162</v>
      </c>
      <c r="M10" s="213">
        <v>0.8</v>
      </c>
      <c r="N10" s="213">
        <v>0.8</v>
      </c>
    </row>
    <row r="11" spans="1:15" x14ac:dyDescent="0.25">
      <c r="A11" s="5"/>
      <c r="B11" s="31">
        <v>4</v>
      </c>
      <c r="C11" s="209">
        <f t="shared" si="0"/>
        <v>28320.880000000001</v>
      </c>
      <c r="D11" s="14"/>
      <c r="E11" s="5"/>
      <c r="F11" s="15"/>
      <c r="G11" s="16"/>
      <c r="H11" s="16"/>
      <c r="I11" s="20"/>
      <c r="J11" s="28"/>
      <c r="K11" s="207" t="s">
        <v>152</v>
      </c>
      <c r="L11" s="207" t="s">
        <v>161</v>
      </c>
      <c r="M11" s="207">
        <v>1</v>
      </c>
      <c r="N11" s="207">
        <v>1</v>
      </c>
      <c r="O11" s="41"/>
    </row>
    <row r="12" spans="1:15" x14ac:dyDescent="0.25">
      <c r="A12" s="5"/>
      <c r="B12" s="31">
        <v>5</v>
      </c>
      <c r="C12" s="209">
        <f t="shared" si="0"/>
        <v>35401.1</v>
      </c>
      <c r="D12" s="14"/>
      <c r="E12" s="5"/>
      <c r="F12" s="15"/>
      <c r="G12" s="16"/>
      <c r="H12" s="16"/>
      <c r="I12" s="20"/>
      <c r="J12" s="28"/>
      <c r="K12" s="207" t="s">
        <v>152</v>
      </c>
      <c r="L12" s="207" t="s">
        <v>162</v>
      </c>
      <c r="M12" s="207">
        <v>1</v>
      </c>
      <c r="N12" s="207">
        <v>1</v>
      </c>
      <c r="O12" s="41"/>
    </row>
    <row r="13" spans="1:15" x14ac:dyDescent="0.25">
      <c r="A13" s="5"/>
      <c r="B13" s="31">
        <v>6</v>
      </c>
      <c r="C13" s="209">
        <f t="shared" si="0"/>
        <v>42481.32</v>
      </c>
      <c r="D13" s="14"/>
      <c r="E13" s="5"/>
      <c r="F13" s="15"/>
      <c r="G13" s="16"/>
      <c r="H13" s="16"/>
      <c r="I13" s="20"/>
      <c r="J13" s="28"/>
      <c r="K13" s="24"/>
      <c r="L13" s="41"/>
      <c r="M13" s="41"/>
      <c r="N13" s="41"/>
      <c r="O13" s="41"/>
    </row>
    <row r="14" spans="1:15" x14ac:dyDescent="0.25">
      <c r="A14" s="5"/>
      <c r="B14" s="31">
        <v>7</v>
      </c>
      <c r="C14" s="209">
        <f t="shared" si="0"/>
        <v>49561.54</v>
      </c>
      <c r="D14" s="14"/>
      <c r="E14" s="5"/>
      <c r="F14" s="15"/>
      <c r="G14" s="16"/>
      <c r="H14" s="16"/>
      <c r="I14" s="20"/>
      <c r="J14" s="28"/>
      <c r="K14" s="24"/>
      <c r="L14" s="212"/>
      <c r="M14" s="41"/>
      <c r="N14" s="41"/>
      <c r="O14" s="41"/>
    </row>
    <row r="15" spans="1:15" x14ac:dyDescent="0.25">
      <c r="A15" s="5"/>
      <c r="B15" s="31">
        <v>8</v>
      </c>
      <c r="C15" s="209">
        <f t="shared" si="0"/>
        <v>56641.760000000002</v>
      </c>
      <c r="D15" s="14"/>
      <c r="E15" s="5"/>
      <c r="F15" s="15"/>
      <c r="G15" s="16"/>
      <c r="H15" s="16"/>
      <c r="I15" s="20"/>
      <c r="J15" s="28"/>
      <c r="K15" s="207"/>
      <c r="L15" s="207"/>
      <c r="M15" s="41"/>
      <c r="N15" s="41"/>
      <c r="O15" s="41"/>
    </row>
    <row r="16" spans="1:15" x14ac:dyDescent="0.25">
      <c r="A16" s="5"/>
      <c r="B16" s="31">
        <v>9</v>
      </c>
      <c r="C16" s="209">
        <f t="shared" si="0"/>
        <v>63721.98</v>
      </c>
      <c r="D16" s="14"/>
      <c r="E16" s="5"/>
      <c r="F16" s="15"/>
      <c r="G16" s="16"/>
      <c r="H16" s="16"/>
      <c r="I16" s="20"/>
      <c r="J16" s="28"/>
      <c r="K16" s="207"/>
      <c r="L16" s="207"/>
      <c r="M16" s="41"/>
      <c r="N16" s="41"/>
      <c r="O16" s="41"/>
    </row>
    <row r="17" spans="1:28" x14ac:dyDescent="0.25">
      <c r="A17" s="5"/>
      <c r="B17" s="31">
        <v>10</v>
      </c>
      <c r="C17" s="209">
        <f t="shared" si="0"/>
        <v>70802.2</v>
      </c>
      <c r="D17" s="14"/>
      <c r="E17" s="5"/>
      <c r="F17" s="15"/>
      <c r="G17" s="16"/>
      <c r="H17" s="16"/>
      <c r="I17" s="20"/>
      <c r="J17" s="28"/>
      <c r="K17" s="24"/>
      <c r="L17" s="41"/>
      <c r="M17" s="41"/>
      <c r="N17" s="41"/>
      <c r="O17" s="41"/>
    </row>
    <row r="18" spans="1:28" ht="13.8" x14ac:dyDescent="0.25">
      <c r="A18" s="5"/>
      <c r="B18" s="31">
        <v>11</v>
      </c>
      <c r="C18" s="209">
        <f t="shared" si="0"/>
        <v>77882.42</v>
      </c>
      <c r="D18" s="14"/>
      <c r="E18" s="5"/>
      <c r="F18" s="328" t="s">
        <v>84</v>
      </c>
      <c r="G18" s="329"/>
      <c r="H18" s="329"/>
      <c r="I18" s="330"/>
      <c r="J18" s="28"/>
      <c r="K18" s="24"/>
      <c r="L18" s="41"/>
      <c r="M18" s="41"/>
      <c r="N18" s="41"/>
      <c r="O18" s="41"/>
    </row>
    <row r="19" spans="1:28" x14ac:dyDescent="0.25">
      <c r="A19" s="5"/>
      <c r="B19" s="31">
        <v>12</v>
      </c>
      <c r="C19" s="209">
        <f t="shared" si="0"/>
        <v>84962.64</v>
      </c>
      <c r="D19" s="14"/>
      <c r="E19" s="5"/>
      <c r="F19" s="44" t="s">
        <v>80</v>
      </c>
      <c r="G19" s="45" t="s">
        <v>75</v>
      </c>
      <c r="H19" s="45" t="s">
        <v>83</v>
      </c>
      <c r="I19" s="46" t="s">
        <v>76</v>
      </c>
      <c r="J19" s="28"/>
      <c r="K19" s="24"/>
      <c r="L19" s="41"/>
      <c r="M19" s="41"/>
      <c r="N19" s="41"/>
      <c r="O19" s="41"/>
    </row>
    <row r="20" spans="1:28" x14ac:dyDescent="0.25">
      <c r="A20" s="5"/>
      <c r="B20" s="31">
        <v>13</v>
      </c>
      <c r="C20" s="209">
        <f t="shared" si="0"/>
        <v>92042.86</v>
      </c>
      <c r="D20" s="14"/>
      <c r="E20" s="5"/>
      <c r="F20" s="87" t="s">
        <v>172</v>
      </c>
      <c r="G20" s="88">
        <v>7.2499999999999995E-2</v>
      </c>
      <c r="H20" s="88">
        <v>0.02</v>
      </c>
      <c r="I20" s="89">
        <v>42121</v>
      </c>
      <c r="J20" s="28"/>
      <c r="K20" s="24"/>
      <c r="L20" s="41"/>
      <c r="M20" s="41"/>
      <c r="N20" s="41"/>
      <c r="O20" s="41"/>
    </row>
    <row r="21" spans="1:28" x14ac:dyDescent="0.25">
      <c r="A21" s="5"/>
      <c r="B21" s="31">
        <v>14</v>
      </c>
      <c r="C21" s="209">
        <f t="shared" si="0"/>
        <v>99123.08</v>
      </c>
      <c r="D21" s="14"/>
      <c r="E21" s="5"/>
      <c r="F21" s="90" t="s">
        <v>173</v>
      </c>
      <c r="G21" s="88">
        <v>7.2499999999999995E-2</v>
      </c>
      <c r="H21" s="88">
        <v>0.02</v>
      </c>
      <c r="I21" s="89">
        <v>42121</v>
      </c>
      <c r="J21" s="28"/>
      <c r="K21" s="24"/>
      <c r="L21" s="41"/>
      <c r="M21" s="41"/>
      <c r="N21" s="41"/>
      <c r="O21" s="41"/>
    </row>
    <row r="22" spans="1:28" x14ac:dyDescent="0.25">
      <c r="A22" s="11"/>
      <c r="B22" s="32">
        <v>15</v>
      </c>
      <c r="C22" s="209">
        <f t="shared" si="0"/>
        <v>106203.3</v>
      </c>
      <c r="D22" s="14"/>
      <c r="E22" s="11"/>
      <c r="F22" s="90" t="s">
        <v>77</v>
      </c>
      <c r="G22" s="91">
        <v>7.5999999999999998E-2</v>
      </c>
      <c r="H22" s="91"/>
      <c r="I22" s="92">
        <v>42107</v>
      </c>
      <c r="J22" s="28"/>
      <c r="K22" s="24"/>
      <c r="L22" s="41"/>
      <c r="M22" s="41"/>
      <c r="N22" s="41"/>
      <c r="O22" s="41"/>
    </row>
    <row r="23" spans="1:28" x14ac:dyDescent="0.25">
      <c r="A23" s="5"/>
      <c r="B23" s="15"/>
      <c r="C23" s="5"/>
      <c r="D23" s="14"/>
      <c r="E23" s="14"/>
      <c r="F23" s="93" t="s">
        <v>81</v>
      </c>
      <c r="G23" s="94">
        <v>0</v>
      </c>
      <c r="H23" s="94">
        <v>0.02</v>
      </c>
      <c r="I23" s="95"/>
      <c r="J23" s="11"/>
      <c r="K23" s="11"/>
      <c r="L23" s="41"/>
      <c r="M23" s="41"/>
      <c r="N23" s="41"/>
      <c r="O23" s="41"/>
    </row>
    <row r="24" spans="1:28" x14ac:dyDescent="0.25">
      <c r="A24" s="11"/>
      <c r="B24" s="14"/>
      <c r="C24" s="11"/>
      <c r="D24" s="14"/>
      <c r="E24" s="14"/>
      <c r="F24" s="14"/>
      <c r="G24" s="14"/>
      <c r="H24" s="14"/>
      <c r="I24" s="14"/>
      <c r="J24" s="11"/>
      <c r="K24" s="11"/>
      <c r="L24" s="41"/>
      <c r="M24" s="41"/>
      <c r="N24" s="41"/>
      <c r="O24" s="41"/>
    </row>
    <row r="25" spans="1:28" x14ac:dyDescent="0.25">
      <c r="A25" s="11" t="s">
        <v>63</v>
      </c>
      <c r="B25" s="14"/>
      <c r="C25" s="33">
        <v>0.03</v>
      </c>
      <c r="D25" s="15"/>
      <c r="E25" s="15"/>
      <c r="F25" s="15"/>
      <c r="G25" s="15"/>
      <c r="H25" s="15"/>
      <c r="I25" s="14"/>
      <c r="J25" s="5"/>
      <c r="K25" s="5"/>
      <c r="L25" s="41"/>
      <c r="M25" s="41"/>
      <c r="N25" s="41"/>
      <c r="O25" s="41"/>
    </row>
    <row r="26" spans="1:28" x14ac:dyDescent="0.25">
      <c r="A26" s="11"/>
      <c r="B26" s="14"/>
      <c r="C26" s="11"/>
      <c r="D26" s="22"/>
      <c r="E26" s="5"/>
      <c r="F26" s="241"/>
      <c r="G26" s="241"/>
      <c r="H26" s="241"/>
      <c r="I26" s="241"/>
      <c r="J26" s="5"/>
      <c r="K26" s="5"/>
      <c r="L26" s="41"/>
      <c r="M26" s="41"/>
      <c r="N26" s="41"/>
      <c r="O26" s="41"/>
    </row>
    <row r="27" spans="1:28" x14ac:dyDescent="0.25">
      <c r="A27" s="5"/>
      <c r="B27" s="1"/>
      <c r="C27" s="2"/>
      <c r="D27" s="3"/>
      <c r="E27" s="2"/>
      <c r="F27" s="242"/>
      <c r="G27" s="241"/>
      <c r="H27" s="241"/>
      <c r="I27" s="241"/>
      <c r="J27" s="5"/>
      <c r="K27" s="5"/>
      <c r="L27" s="41"/>
      <c r="M27" s="41"/>
      <c r="N27" s="41"/>
      <c r="O27" s="41"/>
    </row>
    <row r="28" spans="1:28" ht="13.8" x14ac:dyDescent="0.25">
      <c r="A28" s="5"/>
      <c r="B28" s="325" t="s">
        <v>82</v>
      </c>
      <c r="C28" s="326"/>
      <c r="D28" s="327"/>
      <c r="E28" s="2"/>
      <c r="F28" s="324" t="s">
        <v>95</v>
      </c>
      <c r="G28" s="324"/>
      <c r="H28" s="324"/>
      <c r="I28" s="324"/>
      <c r="J28" s="5"/>
      <c r="K28" s="5"/>
      <c r="L28" s="41"/>
      <c r="M28" s="41"/>
      <c r="N28" s="41"/>
      <c r="O28" s="41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</row>
    <row r="29" spans="1:28" x14ac:dyDescent="0.25">
      <c r="A29" s="5"/>
      <c r="B29" s="48" t="s">
        <v>32</v>
      </c>
      <c r="C29" s="49" t="s">
        <v>33</v>
      </c>
      <c r="D29" s="47" t="s">
        <v>34</v>
      </c>
      <c r="E29" s="7"/>
      <c r="F29" s="239" t="s">
        <v>32</v>
      </c>
      <c r="G29" s="240" t="s">
        <v>33</v>
      </c>
      <c r="H29" s="240"/>
      <c r="I29" s="245" t="s">
        <v>34</v>
      </c>
      <c r="J29" s="5"/>
      <c r="K29" s="5"/>
      <c r="L29" s="41"/>
      <c r="M29" s="41"/>
      <c r="N29" s="41"/>
      <c r="O29" s="41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</row>
    <row r="30" spans="1:28" x14ac:dyDescent="0.25">
      <c r="A30" s="5"/>
      <c r="B30" s="96">
        <v>0</v>
      </c>
      <c r="C30" s="97">
        <v>0</v>
      </c>
      <c r="D30" s="98">
        <v>0.02</v>
      </c>
      <c r="E30" s="7"/>
      <c r="F30" s="246">
        <v>0</v>
      </c>
      <c r="G30" s="241">
        <v>0</v>
      </c>
      <c r="H30" s="241"/>
      <c r="I30" s="247">
        <v>0</v>
      </c>
      <c r="J30" s="5"/>
      <c r="K30" s="5"/>
      <c r="L30" s="41"/>
      <c r="M30" s="41"/>
      <c r="N30" s="41"/>
      <c r="O30" s="41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</row>
    <row r="31" spans="1:28" x14ac:dyDescent="0.25">
      <c r="A31" s="5"/>
      <c r="B31" s="99">
        <v>18200</v>
      </c>
      <c r="C31" s="100">
        <f>C30+D30*(B31-B30)</f>
        <v>364</v>
      </c>
      <c r="D31" s="101">
        <v>0.21</v>
      </c>
      <c r="E31" s="7"/>
      <c r="F31" s="248">
        <v>18200</v>
      </c>
      <c r="G31" s="243">
        <f>G30+I30*(F31-F30)</f>
        <v>0</v>
      </c>
      <c r="H31" s="243"/>
      <c r="I31" s="249">
        <v>0.19</v>
      </c>
      <c r="J31" s="5"/>
      <c r="K31" s="5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</row>
    <row r="32" spans="1:28" x14ac:dyDescent="0.25">
      <c r="A32" s="5"/>
      <c r="B32" s="99">
        <v>37000</v>
      </c>
      <c r="C32" s="100">
        <f>C31+D31*(B32-B31)</f>
        <v>4312</v>
      </c>
      <c r="D32" s="101">
        <v>0.34499999999999997</v>
      </c>
      <c r="E32" s="7"/>
      <c r="F32" s="248">
        <v>37000</v>
      </c>
      <c r="G32" s="243">
        <f>G31+I31*(F32-F31)</f>
        <v>3572</v>
      </c>
      <c r="H32" s="243"/>
      <c r="I32" s="249">
        <v>0.32500000000000001</v>
      </c>
      <c r="J32" s="5"/>
      <c r="K32" s="5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</row>
    <row r="33" spans="1:28" x14ac:dyDescent="0.25">
      <c r="A33" s="5"/>
      <c r="B33" s="99">
        <v>90000</v>
      </c>
      <c r="C33" s="100">
        <f>C32+D32*(B33-B32)</f>
        <v>22597</v>
      </c>
      <c r="D33" s="101">
        <v>0.39</v>
      </c>
      <c r="E33" s="7"/>
      <c r="F33" s="248">
        <v>90000</v>
      </c>
      <c r="G33" s="243">
        <f>G32+I32*(F33-F32)</f>
        <v>20797</v>
      </c>
      <c r="H33" s="243"/>
      <c r="I33" s="249">
        <v>0.37</v>
      </c>
      <c r="J33" s="5"/>
      <c r="K33" s="5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</row>
    <row r="34" spans="1:28" x14ac:dyDescent="0.25">
      <c r="A34" s="6"/>
      <c r="B34" s="102">
        <v>180000</v>
      </c>
      <c r="C34" s="103">
        <f>C33+D33*(B34-B33)</f>
        <v>57697</v>
      </c>
      <c r="D34" s="104">
        <v>0.47</v>
      </c>
      <c r="E34" s="7"/>
      <c r="F34" s="248">
        <v>180000</v>
      </c>
      <c r="G34" s="243">
        <f>G33+I33*(F34-F33)</f>
        <v>54097</v>
      </c>
      <c r="H34" s="243"/>
      <c r="I34" s="249">
        <v>0.45</v>
      </c>
      <c r="J34" s="5"/>
      <c r="K34" s="5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</row>
    <row r="35" spans="1:28" ht="13.8" thickBot="1" x14ac:dyDescent="0.3">
      <c r="A35" s="8"/>
      <c r="B35" s="9"/>
      <c r="C35" s="8"/>
      <c r="D35" s="10"/>
      <c r="E35" s="7"/>
      <c r="F35" s="250"/>
      <c r="G35" s="193"/>
      <c r="H35" s="193"/>
      <c r="I35" s="193"/>
      <c r="J35" s="5"/>
      <c r="K35" s="5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</row>
    <row r="36" spans="1:28" ht="13.8" thickBot="1" x14ac:dyDescent="0.3">
      <c r="A36" s="42"/>
      <c r="B36" s="43"/>
      <c r="C36" s="50" t="s">
        <v>25</v>
      </c>
      <c r="D36" s="51" t="s">
        <v>26</v>
      </c>
      <c r="E36" s="52" t="s">
        <v>4</v>
      </c>
      <c r="F36" s="244" t="s">
        <v>5</v>
      </c>
      <c r="G36" s="30"/>
      <c r="H36" s="30"/>
      <c r="I36" s="30"/>
      <c r="J36" s="5"/>
      <c r="K36" s="5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</row>
    <row r="37" spans="1:28" ht="13.8" thickBot="1" x14ac:dyDescent="0.3">
      <c r="A37" s="64"/>
      <c r="B37" s="53" t="s">
        <v>35</v>
      </c>
      <c r="C37" s="54">
        <f>Calculator!H46</f>
        <v>0</v>
      </c>
      <c r="D37" s="55">
        <f>Calculator!H47</f>
        <v>0</v>
      </c>
      <c r="E37" s="55">
        <f>Calculator!H48</f>
        <v>0</v>
      </c>
      <c r="F37" s="55">
        <f>Calculator!H49</f>
        <v>0</v>
      </c>
      <c r="G37" s="30"/>
      <c r="H37" s="30"/>
      <c r="I37" s="30"/>
      <c r="J37" s="5"/>
      <c r="K37" s="5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</row>
    <row r="38" spans="1:28" x14ac:dyDescent="0.25">
      <c r="A38" s="34"/>
      <c r="B38" s="35"/>
      <c r="C38" s="36"/>
      <c r="D38" s="37"/>
      <c r="E38" s="37"/>
      <c r="F38" s="38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</row>
    <row r="39" spans="1:28" x14ac:dyDescent="0.25">
      <c r="A39" s="56"/>
      <c r="B39" s="62" t="s">
        <v>32</v>
      </c>
      <c r="C39" s="59">
        <f>VLOOKUP(C37,$B$30:$D$34,1)</f>
        <v>0</v>
      </c>
      <c r="D39" s="59">
        <f>VLOOKUP(D37,$B$30:$D$34,1)</f>
        <v>0</v>
      </c>
      <c r="E39" s="59">
        <f>VLOOKUP(E37,$B$30:$D$34,1)</f>
        <v>0</v>
      </c>
      <c r="F39" s="59">
        <f>VLOOKUP(F37,$B$30:$D$34,1)</f>
        <v>0</v>
      </c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</row>
    <row r="40" spans="1:28" x14ac:dyDescent="0.25">
      <c r="A40" s="58"/>
      <c r="B40" s="58" t="s">
        <v>36</v>
      </c>
      <c r="C40" s="59">
        <f>VLOOKUP(C37,$B$30:$D$34,2)</f>
        <v>0</v>
      </c>
      <c r="D40" s="59">
        <f>VLOOKUP(D37,$B$30:$D$34,2)</f>
        <v>0</v>
      </c>
      <c r="E40" s="59">
        <f>VLOOKUP(E37,$B$30:$D$34,2)</f>
        <v>0</v>
      </c>
      <c r="F40" s="59">
        <f>VLOOKUP(F37,$B$30:$D$34,2)</f>
        <v>0</v>
      </c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</row>
    <row r="41" spans="1:28" x14ac:dyDescent="0.25">
      <c r="A41" s="58"/>
      <c r="B41" s="58" t="s">
        <v>37</v>
      </c>
      <c r="C41" s="60">
        <f>VLOOKUP(C37,$B$30:$D$34,3)</f>
        <v>0.02</v>
      </c>
      <c r="D41" s="61">
        <f>VLOOKUP(D37,$B$30:$D$34,3)</f>
        <v>0.02</v>
      </c>
      <c r="E41" s="61">
        <f>VLOOKUP(E37,$B$30:$D$34,3)</f>
        <v>0.02</v>
      </c>
      <c r="F41" s="61">
        <f>VLOOKUP(F37,$B$30:$D$34,3)</f>
        <v>0.02</v>
      </c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</row>
    <row r="42" spans="1:28" x14ac:dyDescent="0.25">
      <c r="A42" s="39"/>
      <c r="B42" s="39"/>
      <c r="C42" s="36"/>
      <c r="D42" s="37"/>
      <c r="E42" s="37"/>
      <c r="F42" s="38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</row>
    <row r="43" spans="1:28" x14ac:dyDescent="0.25">
      <c r="A43" s="63"/>
      <c r="B43" s="57" t="s">
        <v>38</v>
      </c>
      <c r="C43" s="59">
        <f>IF(C37&gt;0,C40+(C37-C39)*C41,0)</f>
        <v>0</v>
      </c>
      <c r="D43" s="59">
        <f>IF(D37&gt;0,D40+(D37-D39)*D41,0)</f>
        <v>0</v>
      </c>
      <c r="E43" s="59">
        <f>IF(E37&gt;0,E40+(E37-E39)*E41,0)</f>
        <v>0</v>
      </c>
      <c r="F43" s="59">
        <f>IF(F37&gt;0,F40+(F37-F39)*F41,0)</f>
        <v>0</v>
      </c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</row>
    <row r="44" spans="1:28" x14ac:dyDescent="0.25">
      <c r="A44" s="67"/>
      <c r="B44" s="67"/>
      <c r="C44" s="68"/>
      <c r="D44" s="69"/>
      <c r="E44" s="69"/>
      <c r="F44" s="7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</row>
    <row r="45" spans="1:28" x14ac:dyDescent="0.25">
      <c r="A45" s="71"/>
      <c r="B45" s="71"/>
      <c r="C45" s="71"/>
      <c r="D45" s="69"/>
      <c r="E45" s="69"/>
      <c r="F45" s="7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</row>
    <row r="46" spans="1:28" ht="13.8" thickBot="1" x14ac:dyDescent="0.3">
      <c r="A46" s="65"/>
      <c r="B46" s="66" t="s">
        <v>78</v>
      </c>
      <c r="C46" s="72">
        <f>98.5%*C37-C43</f>
        <v>0</v>
      </c>
      <c r="D46" s="72">
        <f>98.5%*D37-D43</f>
        <v>0</v>
      </c>
      <c r="E46" s="72">
        <f>98.5%*E37-E43</f>
        <v>0</v>
      </c>
      <c r="F46" s="72">
        <f>98.5%*F37-F43</f>
        <v>0</v>
      </c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</row>
    <row r="47" spans="1:28" ht="13.8" thickTop="1" x14ac:dyDescent="0.25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</row>
    <row r="48" spans="1:28" x14ac:dyDescent="0.25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</row>
    <row r="49" spans="1:28" x14ac:dyDescent="0.25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</row>
    <row r="50" spans="1:28" x14ac:dyDescent="0.25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</row>
    <row r="51" spans="1:28" x14ac:dyDescent="0.25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</row>
    <row r="52" spans="1:28" x14ac:dyDescent="0.25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</row>
    <row r="53" spans="1:28" x14ac:dyDescent="0.25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</row>
    <row r="54" spans="1:28" x14ac:dyDescent="0.25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</row>
    <row r="55" spans="1:28" x14ac:dyDescent="0.2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</row>
    <row r="56" spans="1:28" x14ac:dyDescent="0.25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</row>
    <row r="57" spans="1:28" x14ac:dyDescent="0.2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</row>
    <row r="58" spans="1:28" x14ac:dyDescent="0.2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</row>
    <row r="59" spans="1:28" x14ac:dyDescent="0.2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</row>
    <row r="60" spans="1:28" x14ac:dyDescent="0.25">
      <c r="A60" s="30"/>
      <c r="B60" s="30"/>
      <c r="C60" s="30"/>
      <c r="D60" s="30"/>
      <c r="E60" s="30"/>
      <c r="F60" s="30"/>
    </row>
    <row r="61" spans="1:28" x14ac:dyDescent="0.25">
      <c r="B61"/>
    </row>
    <row r="62" spans="1:28" x14ac:dyDescent="0.25">
      <c r="B62"/>
    </row>
    <row r="63" spans="1:28" x14ac:dyDescent="0.25">
      <c r="B63"/>
    </row>
    <row r="64" spans="1:28" x14ac:dyDescent="0.25">
      <c r="B64"/>
    </row>
    <row r="65" spans="2:2" x14ac:dyDescent="0.25">
      <c r="B65"/>
    </row>
    <row r="66" spans="2:2" x14ac:dyDescent="0.25">
      <c r="B66"/>
    </row>
  </sheetData>
  <sheetProtection password="8CBB" sheet="1" selectLockedCells="1" selectUnlockedCells="1"/>
  <mergeCells count="3">
    <mergeCell ref="F28:I28"/>
    <mergeCell ref="B28:D28"/>
    <mergeCell ref="F18:I18"/>
  </mergeCells>
  <phoneticPr fontId="0" type="noConversion"/>
  <pageMargins left="0.74803149606299213" right="0.74803149606299213" top="0.98425196850393704" bottom="0.98425196850393704" header="0.51181102362204722" footer="0.51181102362204722"/>
  <pageSetup paperSize="9" scale="73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0"/>
  <sheetViews>
    <sheetView workbookViewId="0">
      <selection activeCell="N39" sqref="N39"/>
    </sheetView>
  </sheetViews>
  <sheetFormatPr defaultRowHeight="13.2" x14ac:dyDescent="0.25"/>
  <cols>
    <col min="1" max="1" width="3" customWidth="1"/>
    <col min="11" max="11" width="3.33203125" customWidth="1"/>
  </cols>
  <sheetData>
    <row r="1" spans="1:11" x14ac:dyDescent="0.25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</row>
    <row r="2" spans="1:11" x14ac:dyDescent="0.25">
      <c r="A2" s="41"/>
      <c r="B2" s="75"/>
      <c r="C2" s="76"/>
      <c r="D2" s="76"/>
      <c r="E2" s="76"/>
      <c r="F2" s="76"/>
      <c r="G2" s="76"/>
      <c r="H2" s="76"/>
      <c r="I2" s="76"/>
      <c r="J2" s="77"/>
      <c r="K2" s="41"/>
    </row>
    <row r="3" spans="1:11" x14ac:dyDescent="0.25">
      <c r="A3" s="41"/>
      <c r="B3" s="334" t="s">
        <v>71</v>
      </c>
      <c r="C3" s="335"/>
      <c r="D3" s="335"/>
      <c r="E3" s="335"/>
      <c r="F3" s="335"/>
      <c r="G3" s="335"/>
      <c r="H3" s="335"/>
      <c r="I3" s="335"/>
      <c r="J3" s="336"/>
      <c r="K3" s="41"/>
    </row>
    <row r="4" spans="1:11" x14ac:dyDescent="0.25">
      <c r="A4" s="41"/>
      <c r="B4" s="337"/>
      <c r="C4" s="335"/>
      <c r="D4" s="335"/>
      <c r="E4" s="335"/>
      <c r="F4" s="335"/>
      <c r="G4" s="335"/>
      <c r="H4" s="335"/>
      <c r="I4" s="335"/>
      <c r="J4" s="336"/>
      <c r="K4" s="41"/>
    </row>
    <row r="5" spans="1:11" x14ac:dyDescent="0.25">
      <c r="A5" s="41"/>
      <c r="B5" s="78"/>
      <c r="C5" s="79"/>
      <c r="D5" s="79"/>
      <c r="E5" s="79"/>
      <c r="F5" s="79"/>
      <c r="G5" s="79"/>
      <c r="H5" s="79"/>
      <c r="I5" s="79"/>
      <c r="J5" s="80"/>
      <c r="K5" s="41"/>
    </row>
    <row r="6" spans="1:11" x14ac:dyDescent="0.25">
      <c r="A6" s="41"/>
      <c r="B6" s="331" t="s">
        <v>67</v>
      </c>
      <c r="C6" s="332"/>
      <c r="D6" s="332"/>
      <c r="E6" s="332"/>
      <c r="F6" s="332"/>
      <c r="G6" s="332"/>
      <c r="H6" s="332"/>
      <c r="I6" s="332"/>
      <c r="J6" s="333"/>
      <c r="K6" s="41"/>
    </row>
    <row r="7" spans="1:11" x14ac:dyDescent="0.25">
      <c r="A7" s="41"/>
      <c r="B7" s="331"/>
      <c r="C7" s="332"/>
      <c r="D7" s="332"/>
      <c r="E7" s="332"/>
      <c r="F7" s="332"/>
      <c r="G7" s="332"/>
      <c r="H7" s="332"/>
      <c r="I7" s="332"/>
      <c r="J7" s="333"/>
      <c r="K7" s="41"/>
    </row>
    <row r="8" spans="1:11" x14ac:dyDescent="0.25">
      <c r="A8" s="41"/>
      <c r="B8" s="81"/>
      <c r="C8" s="82"/>
      <c r="D8" s="82"/>
      <c r="E8" s="82"/>
      <c r="F8" s="82"/>
      <c r="G8" s="82"/>
      <c r="H8" s="82"/>
      <c r="I8" s="82"/>
      <c r="J8" s="83"/>
      <c r="K8" s="41"/>
    </row>
    <row r="9" spans="1:11" x14ac:dyDescent="0.25">
      <c r="A9" s="41"/>
      <c r="B9" s="331" t="s">
        <v>68</v>
      </c>
      <c r="C9" s="332"/>
      <c r="D9" s="332"/>
      <c r="E9" s="332"/>
      <c r="F9" s="332"/>
      <c r="G9" s="332"/>
      <c r="H9" s="332"/>
      <c r="I9" s="332"/>
      <c r="J9" s="333"/>
      <c r="K9" s="41"/>
    </row>
    <row r="10" spans="1:11" x14ac:dyDescent="0.25">
      <c r="A10" s="41"/>
      <c r="B10" s="331"/>
      <c r="C10" s="332"/>
      <c r="D10" s="332"/>
      <c r="E10" s="332"/>
      <c r="F10" s="332"/>
      <c r="G10" s="332"/>
      <c r="H10" s="332"/>
      <c r="I10" s="332"/>
      <c r="J10" s="333"/>
      <c r="K10" s="41"/>
    </row>
    <row r="11" spans="1:11" x14ac:dyDescent="0.25">
      <c r="A11" s="41"/>
      <c r="B11" s="81"/>
      <c r="C11" s="82"/>
      <c r="D11" s="82"/>
      <c r="E11" s="82"/>
      <c r="F11" s="82"/>
      <c r="G11" s="82"/>
      <c r="H11" s="82"/>
      <c r="I11" s="82"/>
      <c r="J11" s="83"/>
      <c r="K11" s="41"/>
    </row>
    <row r="12" spans="1:11" x14ac:dyDescent="0.25">
      <c r="A12" s="41"/>
      <c r="B12" s="331" t="s">
        <v>69</v>
      </c>
      <c r="C12" s="332"/>
      <c r="D12" s="332"/>
      <c r="E12" s="332"/>
      <c r="F12" s="332"/>
      <c r="G12" s="332"/>
      <c r="H12" s="332"/>
      <c r="I12" s="332"/>
      <c r="J12" s="333"/>
      <c r="K12" s="41"/>
    </row>
    <row r="13" spans="1:11" x14ac:dyDescent="0.25">
      <c r="A13" s="41"/>
      <c r="B13" s="331"/>
      <c r="C13" s="332"/>
      <c r="D13" s="332"/>
      <c r="E13" s="332"/>
      <c r="F13" s="332"/>
      <c r="G13" s="332"/>
      <c r="H13" s="332"/>
      <c r="I13" s="332"/>
      <c r="J13" s="333"/>
      <c r="K13" s="41"/>
    </row>
    <row r="14" spans="1:11" x14ac:dyDescent="0.25">
      <c r="A14" s="41"/>
      <c r="B14" s="78"/>
      <c r="C14" s="79"/>
      <c r="D14" s="79"/>
      <c r="E14" s="79"/>
      <c r="F14" s="79"/>
      <c r="G14" s="79"/>
      <c r="H14" s="79"/>
      <c r="I14" s="79"/>
      <c r="J14" s="80"/>
      <c r="K14" s="41"/>
    </row>
    <row r="15" spans="1:11" x14ac:dyDescent="0.25">
      <c r="A15" s="41"/>
      <c r="B15" s="331" t="s">
        <v>70</v>
      </c>
      <c r="C15" s="332"/>
      <c r="D15" s="332"/>
      <c r="E15" s="332"/>
      <c r="F15" s="332"/>
      <c r="G15" s="332"/>
      <c r="H15" s="332"/>
      <c r="I15" s="332"/>
      <c r="J15" s="333"/>
      <c r="K15" s="41"/>
    </row>
    <row r="16" spans="1:11" x14ac:dyDescent="0.25">
      <c r="A16" s="41"/>
      <c r="B16" s="331"/>
      <c r="C16" s="332"/>
      <c r="D16" s="332"/>
      <c r="E16" s="332"/>
      <c r="F16" s="332"/>
      <c r="G16" s="332"/>
      <c r="H16" s="332"/>
      <c r="I16" s="332"/>
      <c r="J16" s="333"/>
      <c r="K16" s="41"/>
    </row>
    <row r="17" spans="1:11" x14ac:dyDescent="0.25">
      <c r="A17" s="41"/>
      <c r="B17" s="78"/>
      <c r="C17" s="79"/>
      <c r="D17" s="79"/>
      <c r="E17" s="79"/>
      <c r="F17" s="79"/>
      <c r="G17" s="79"/>
      <c r="H17" s="79"/>
      <c r="I17" s="79"/>
      <c r="J17" s="80"/>
      <c r="K17" s="41"/>
    </row>
    <row r="18" spans="1:11" x14ac:dyDescent="0.25">
      <c r="A18" s="41"/>
      <c r="B18" s="331" t="s">
        <v>72</v>
      </c>
      <c r="C18" s="332"/>
      <c r="D18" s="332"/>
      <c r="E18" s="332"/>
      <c r="F18" s="332"/>
      <c r="G18" s="332"/>
      <c r="H18" s="332"/>
      <c r="I18" s="332"/>
      <c r="J18" s="333"/>
      <c r="K18" s="41"/>
    </row>
    <row r="19" spans="1:11" x14ac:dyDescent="0.25">
      <c r="A19" s="41"/>
      <c r="B19" s="331"/>
      <c r="C19" s="332"/>
      <c r="D19" s="332"/>
      <c r="E19" s="332"/>
      <c r="F19" s="332"/>
      <c r="G19" s="332"/>
      <c r="H19" s="332"/>
      <c r="I19" s="332"/>
      <c r="J19" s="333"/>
      <c r="K19" s="41"/>
    </row>
    <row r="20" spans="1:11" x14ac:dyDescent="0.25">
      <c r="A20" s="41"/>
      <c r="B20" s="84"/>
      <c r="C20" s="85"/>
      <c r="D20" s="85"/>
      <c r="E20" s="85"/>
      <c r="F20" s="85"/>
      <c r="G20" s="85"/>
      <c r="H20" s="85"/>
      <c r="I20" s="85"/>
      <c r="J20" s="86"/>
      <c r="K20" s="41"/>
    </row>
    <row r="21" spans="1:11" x14ac:dyDescent="0.2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</row>
    <row r="22" spans="1:11" x14ac:dyDescent="0.25">
      <c r="B22" s="41"/>
      <c r="C22" s="41"/>
      <c r="D22" s="41"/>
      <c r="E22" s="41"/>
      <c r="F22" s="41"/>
      <c r="G22" s="41"/>
      <c r="H22" s="41"/>
      <c r="I22" s="41"/>
      <c r="J22" s="41"/>
    </row>
    <row r="30" spans="1:11" x14ac:dyDescent="0.25">
      <c r="F30" s="40"/>
    </row>
  </sheetData>
  <sheetProtection password="8CBB" sheet="1"/>
  <mergeCells count="6">
    <mergeCell ref="B15:J16"/>
    <mergeCell ref="B18:J19"/>
    <mergeCell ref="B6:J7"/>
    <mergeCell ref="B3:J4"/>
    <mergeCell ref="B9:J10"/>
    <mergeCell ref="B12:J13"/>
  </mergeCells>
  <phoneticPr fontId="12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20A1321D9A57D4095A06F4BC4310D77" ma:contentTypeVersion="0" ma:contentTypeDescription="Create a new document." ma:contentTypeScope="" ma:versionID="72e30b1e9278de120c9cfd9fc51238eb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7F24363-CEBF-4ED3-B6C3-CD5F240612C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F8E8EAA-D43E-4D41-AE7B-CD6B9566DE8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959F5D0-74A4-48A1-A0A4-F3DB204F8BC3}">
  <ds:schemaRefs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84</vt:i4>
      </vt:variant>
    </vt:vector>
  </HeadingPairs>
  <TitlesOfParts>
    <vt:vector size="88" baseType="lpstr">
      <vt:lpstr>Calculator</vt:lpstr>
      <vt:lpstr>Supplementary Income</vt:lpstr>
      <vt:lpstr>Tables</vt:lpstr>
      <vt:lpstr>Company Income Notes</vt:lpstr>
      <vt:lpstr>_BonusCommission</vt:lpstr>
      <vt:lpstr>_EssentialService</vt:lpstr>
      <vt:lpstr>_Overtime</vt:lpstr>
      <vt:lpstr>_Portfolio</vt:lpstr>
      <vt:lpstr>_Supplementary</vt:lpstr>
      <vt:lpstr>AUTO_Bonus</vt:lpstr>
      <vt:lpstr>AUTO_Bonus2</vt:lpstr>
      <vt:lpstr>AUTO_Bonus3</vt:lpstr>
      <vt:lpstr>AUTO_Bonus4</vt:lpstr>
      <vt:lpstr>AUTO_BorrowerEntityType</vt:lpstr>
      <vt:lpstr>AUTO_BorrowerEntityType2</vt:lpstr>
      <vt:lpstr>AUTO_BorrowerEntityType3</vt:lpstr>
      <vt:lpstr>AUTO_BorrowerEntityType4</vt:lpstr>
      <vt:lpstr>AUTO_BusinessAddBacks</vt:lpstr>
      <vt:lpstr>AUTO_BusinessNetProfit</vt:lpstr>
      <vt:lpstr>AUTO_Commission</vt:lpstr>
      <vt:lpstr>AUTO_Commission2</vt:lpstr>
      <vt:lpstr>AUTO_Commission3</vt:lpstr>
      <vt:lpstr>AUTO_Commission4</vt:lpstr>
      <vt:lpstr>AUTO_CreditCardLimit</vt:lpstr>
      <vt:lpstr>AUTO_ExistingInvestmentLoans</vt:lpstr>
      <vt:lpstr>AUTO_ExistingOwnerOccupiedLoans</vt:lpstr>
      <vt:lpstr>AUTO_GrossIncome</vt:lpstr>
      <vt:lpstr>AUTO_GrossIncome2</vt:lpstr>
      <vt:lpstr>AUTO_GrossIncome3</vt:lpstr>
      <vt:lpstr>AUTO_GrossIncome4</vt:lpstr>
      <vt:lpstr>AUTO_IOTerm</vt:lpstr>
      <vt:lpstr>AUTO_IOTerm2</vt:lpstr>
      <vt:lpstr>AUTO_IOTerm3</vt:lpstr>
      <vt:lpstr>AUTO_IOTerm4</vt:lpstr>
      <vt:lpstr>AUTO_IOTerm5</vt:lpstr>
      <vt:lpstr>AUTO_IOTerm6</vt:lpstr>
      <vt:lpstr>AUTO_IsIncomeAcceptable</vt:lpstr>
      <vt:lpstr>AUTO_IsIncomeAcceptable2</vt:lpstr>
      <vt:lpstr>AUTO_IsIncomeAcceptable3</vt:lpstr>
      <vt:lpstr>AUTO_IsIncomeAcceptable4</vt:lpstr>
      <vt:lpstr>AUTO_Loan</vt:lpstr>
      <vt:lpstr>AUTO_LoanAmount</vt:lpstr>
      <vt:lpstr>AUTO_LoanAmount2</vt:lpstr>
      <vt:lpstr>AUTO_LoanAmount3</vt:lpstr>
      <vt:lpstr>AUTO_LoanAmount4</vt:lpstr>
      <vt:lpstr>AUTO_LoanAmount5</vt:lpstr>
      <vt:lpstr>AUTO_LoanAmount6</vt:lpstr>
      <vt:lpstr>AUTO_LoanAmountInvestment</vt:lpstr>
      <vt:lpstr>AUTO_LoanInterestRate</vt:lpstr>
      <vt:lpstr>AUTO_LoanTerm</vt:lpstr>
      <vt:lpstr>AUTO_MortgageInsurer</vt:lpstr>
      <vt:lpstr>AUTO_NumberAdults</vt:lpstr>
      <vt:lpstr>AUTO_NumberChildren</vt:lpstr>
      <vt:lpstr>AUTO_NumberCouples</vt:lpstr>
      <vt:lpstr>AUTO_OtherExpenses</vt:lpstr>
      <vt:lpstr>AUTO_OtherInvestmentMortgages</vt:lpstr>
      <vt:lpstr>AUTO_OtherMortgages</vt:lpstr>
      <vt:lpstr>AUTO_OvertimeShiftAllowances</vt:lpstr>
      <vt:lpstr>AUTO_OvertimeShiftAllowances2</vt:lpstr>
      <vt:lpstr>AUTO_OvertimeShiftAllowances3</vt:lpstr>
      <vt:lpstr>AUTO_OvertimeShiftAllowances4</vt:lpstr>
      <vt:lpstr>AUTO_PersonalLoans</vt:lpstr>
      <vt:lpstr>AUTO_RentTotal</vt:lpstr>
      <vt:lpstr>AUTO_SecondCasual</vt:lpstr>
      <vt:lpstr>AUTO_SecondCasual2</vt:lpstr>
      <vt:lpstr>AUTO_SecondCasual3</vt:lpstr>
      <vt:lpstr>AUTO_SecondCasual4</vt:lpstr>
      <vt:lpstr>AUTO_SecurityInvestmentValue</vt:lpstr>
      <vt:lpstr>AUTO_SecurityOwnerOccupiedValue</vt:lpstr>
      <vt:lpstr>AUTO_SocialSecurityIncome</vt:lpstr>
      <vt:lpstr>AUTO_SocialSecurityIncome2</vt:lpstr>
      <vt:lpstr>AUTO_SocialSecurityIncome3</vt:lpstr>
      <vt:lpstr>AUTO_SocialSecurityIncome4</vt:lpstr>
      <vt:lpstr>AUTO_TotalAdditionalLivingExpenses</vt:lpstr>
      <vt:lpstr>AUTO_TotalDeclaredLivingExpenses</vt:lpstr>
      <vt:lpstr>AUTO_Underwriter</vt:lpstr>
      <vt:lpstr>CALC</vt:lpstr>
      <vt:lpstr>calculatorSheet</vt:lpstr>
      <vt:lpstr>inputCell</vt:lpstr>
      <vt:lpstr>listMortgageInsurers</vt:lpstr>
      <vt:lpstr>listMortgageInsurersData</vt:lpstr>
      <vt:lpstr>mortgageInsurer</vt:lpstr>
      <vt:lpstr>PaymentType</vt:lpstr>
      <vt:lpstr>Calculator!Print_Area</vt:lpstr>
      <vt:lpstr>'Supplementary Income'!Print_Area</vt:lpstr>
      <vt:lpstr>rate</vt:lpstr>
      <vt:lpstr>SecurityPurpose</vt:lpstr>
      <vt:lpstr>underWriterName</vt:lpstr>
    </vt:vector>
  </TitlesOfParts>
  <Company>RESIMAC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Ortiga</dc:creator>
  <cp:lastModifiedBy>Mina Azimi</cp:lastModifiedBy>
  <cp:lastPrinted>2018-07-25T04:22:16Z</cp:lastPrinted>
  <dcterms:created xsi:type="dcterms:W3CDTF">2002-01-09T04:33:27Z</dcterms:created>
  <dcterms:modified xsi:type="dcterms:W3CDTF">2018-10-10T00:12:01Z</dcterms:modified>
</cp:coreProperties>
</file>